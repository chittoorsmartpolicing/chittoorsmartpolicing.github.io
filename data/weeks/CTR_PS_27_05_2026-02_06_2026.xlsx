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olak\OneDrive\Desktop\"/>
    </mc:Choice>
  </mc:AlternateContent>
  <xr:revisionPtr revIDLastSave="0" documentId="8_{537FDA72-E1A3-4D61-9637-CE6479A8FA23}" xr6:coauthVersionLast="47" xr6:coauthVersionMax="47" xr10:uidLastSave="{00000000-0000-0000-0000-000000000000}"/>
  <bookViews>
    <workbookView xWindow="-108" yWindow="-108" windowWidth="23256" windowHeight="12456" xr2:uid="{20BBA7B7-B210-4C5D-8AD9-FDEBE8B27E1B}"/>
  </bookViews>
  <sheets>
    <sheet name="Sheet1" sheetId="1" r:id="rId1"/>
  </sheets>
  <externalReferences>
    <externalReference r:id="rId2"/>
  </externalReferences>
  <definedNames>
    <definedName name="_xlnm.Print_Titles" localSheetId="0">Sheet1!$1:$2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36" i="1" l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</calcChain>
</file>

<file path=xl/sharedStrings.xml><?xml version="1.0" encoding="utf-8"?>
<sst xmlns="http://schemas.openxmlformats.org/spreadsheetml/2006/main" count="57" uniqueCount="57">
  <si>
    <t>District</t>
  </si>
  <si>
    <t>MedLEaPR PME</t>
  </si>
  <si>
    <t>MedLEaPR MLC</t>
  </si>
  <si>
    <t xml:space="preserve">NATGRID </t>
  </si>
  <si>
    <t>DGP Dashboard</t>
  </si>
  <si>
    <t>CCTNS Overall</t>
  </si>
  <si>
    <t>CCTNS IIF 1-7</t>
  </si>
  <si>
    <t>CCTNS IIF 8-15</t>
  </si>
  <si>
    <t>Zero FIRs</t>
  </si>
  <si>
    <t>Citizen Portal</t>
  </si>
  <si>
    <t>eSakshya SID%</t>
  </si>
  <si>
    <t xml:space="preserve">CriMAC </t>
  </si>
  <si>
    <t>CEIR Score</t>
  </si>
  <si>
    <t>eProsecution</t>
  </si>
  <si>
    <t>FIRs &amp; CS Con</t>
  </si>
  <si>
    <t>eOffice</t>
  </si>
  <si>
    <t xml:space="preserve">APOLIS </t>
  </si>
  <si>
    <t>Drone Flying</t>
  </si>
  <si>
    <t>Dial112 Tabs</t>
  </si>
  <si>
    <t>Dial112 Resp</t>
  </si>
  <si>
    <t>CCTV360 Usage</t>
  </si>
  <si>
    <t>News360AI</t>
  </si>
  <si>
    <t>Wt →</t>
  </si>
  <si>
    <t>Nagari UPS</t>
  </si>
  <si>
    <t>Vedurukuppam</t>
  </si>
  <si>
    <t>Gangavaram UPS</t>
  </si>
  <si>
    <t>K. Nagar</t>
  </si>
  <si>
    <t>Chittoor Taluk PS</t>
  </si>
  <si>
    <t>Irala</t>
  </si>
  <si>
    <t>Palamaner UPS</t>
  </si>
  <si>
    <t>Kuppam UPS</t>
  </si>
  <si>
    <t>Rallabudugur</t>
  </si>
  <si>
    <t>Vijayapuram</t>
  </si>
  <si>
    <t>Panjani</t>
  </si>
  <si>
    <t>S.R.Puram</t>
  </si>
  <si>
    <t>Bangarupalem UPS</t>
  </si>
  <si>
    <t>Narsingarayanipet(N.R.Pet)</t>
  </si>
  <si>
    <t>Gudipala</t>
  </si>
  <si>
    <t>Chittoor Traffic UPS</t>
  </si>
  <si>
    <t>CCS Chittoor UPS</t>
  </si>
  <si>
    <t>Gudipalli</t>
  </si>
  <si>
    <t>Palasamudram</t>
  </si>
  <si>
    <t>Chittoor I Town UPS</t>
  </si>
  <si>
    <t>G.D.Nellore UPS</t>
  </si>
  <si>
    <t>Ramakuppam</t>
  </si>
  <si>
    <t>Chittoor II Town UPS</t>
  </si>
  <si>
    <t>Kallur</t>
  </si>
  <si>
    <t>Nindra</t>
  </si>
  <si>
    <t>Thavanampalle</t>
  </si>
  <si>
    <t>Yadamari</t>
  </si>
  <si>
    <t>Baireddypalle</t>
  </si>
  <si>
    <t>Puthalapattu UPS</t>
  </si>
  <si>
    <t>Mahila UPS, Chittoor</t>
  </si>
  <si>
    <t>Penumur</t>
  </si>
  <si>
    <t>Kanipakam</t>
  </si>
  <si>
    <t>Rompicherla</t>
  </si>
  <si>
    <t>V.Kota UPS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</si>
</sst>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0"/>
      <color rgb="FFFFFFFF"/>
      <name val="Segoe UI"/>
      <family val="2"/>
    </font>
    <font>
      <b/>
      <sz val="10"/>
      <color theme="0"/>
      <name val="Calibri"/>
      <family val="2"/>
      <scheme val="minor"/>
    </font>
    <font>
      <b/>
      <sz val="10"/>
      <color rgb="FF000000"/>
      <name val="Segoe UI"/>
      <family val="2"/>
    </font>
    <font>
      <sz val="10"/>
      <color theme="1"/>
      <name val="Calbri"/>
    </font>
    <font>
      <b/>
      <sz val="10"/>
      <color rgb="FF14532D"/>
      <name val="Segoe UI"/>
      <family val="2"/>
    </font>
    <font>
      <sz val="10"/>
      <color rgb="FF000000"/>
      <name val="Calbri"/>
    </font>
  </fonts>
  <fills count="6">
    <fill>
      <patternFill patternType="none"/>
    </fill>
    <fill>
      <patternFill patternType="gray125"/>
    </fill>
    <fill>
      <patternFill patternType="solid">
        <fgColor rgb="FF0F2A5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2" fontId="2" fillId="3" borderId="1" xfId="0" applyNumberFormat="1" applyFont="1" applyFill="1" applyBorder="1" applyAlignment="1">
      <alignment horizontal="center" textRotation="90"/>
    </xf>
    <xf numFmtId="1" fontId="2" fillId="3" borderId="1" xfId="0" applyNumberFormat="1" applyFont="1" applyFill="1" applyBorder="1" applyAlignment="1">
      <alignment horizontal="center" textRotation="90"/>
    </xf>
    <xf numFmtId="0" fontId="2" fillId="3" borderId="1" xfId="0" applyFont="1" applyFill="1" applyBorder="1" applyAlignment="1">
      <alignment horizontal="center" textRotation="90"/>
    </xf>
    <xf numFmtId="0" fontId="2" fillId="3" borderId="1" xfId="0" applyFont="1" applyFill="1" applyBorder="1" applyAlignment="1">
      <alignment horizontal="center" textRotation="90" wrapText="1"/>
    </xf>
    <xf numFmtId="0" fontId="3" fillId="4" borderId="1" xfId="0" applyFont="1" applyFill="1" applyBorder="1" applyAlignment="1">
      <alignment horizontal="left" vertical="center" wrapText="1"/>
    </xf>
    <xf numFmtId="9" fontId="3" fillId="4" borderId="1" xfId="0" applyNumberFormat="1" applyFont="1" applyFill="1" applyBorder="1" applyAlignment="1">
      <alignment horizontal="center" vertical="center" wrapText="1"/>
    </xf>
    <xf numFmtId="10" fontId="3" fillId="4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2" fontId="5" fillId="5" borderId="1" xfId="0" applyNumberFormat="1" applyFont="1" applyFill="1" applyBorder="1" applyAlignment="1">
      <alignment horizontal="center" vertical="center" wrapText="1"/>
    </xf>
    <xf numFmtId="1" fontId="5" fillId="5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6" fillId="0" borderId="1" xfId="0" applyFont="1" applyBorder="1" applyAlignment="1">
      <alignment vertical="center" wrapText="1"/>
    </xf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olak\OneDrive\Desktop\DATA\DATA\DATA\SMART_POLICE_RAW_DATA.xlsm" TargetMode="External"/><Relationship Id="rId1" Type="http://schemas.openxmlformats.org/officeDocument/2006/relationships/externalLinkPath" Target="DATA/DATA/DATA/SMART_POLICE_RAW_DAT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List"/>
      <sheetName val="SHEET_LIST"/>
      <sheetName val="PARAMETERS"/>
      <sheetName val="GENERATE"/>
      <sheetName val="1_MEDLEAPR_PME"/>
      <sheetName val="2_MEDLEAPR_MLC"/>
      <sheetName val="3_NATGRID"/>
      <sheetName val="4_DGP_DASH"/>
      <sheetName val="5_CCTNS_TILL"/>
      <sheetName val="6_CCTNS_1_7"/>
      <sheetName val="7_CCTNS_8_15"/>
      <sheetName val="8_ZERO_FIRS"/>
      <sheetName val="9_CITIZEN_PORTAL"/>
      <sheetName val="10_ESAKSHYA"/>
      <sheetName val="11_CRIMAC"/>
      <sheetName val="12_CEIR"/>
      <sheetName val="13_EPROSEC"/>
      <sheetName val="14_FIR_CS_COURT"/>
      <sheetName val="15_EOFFICE"/>
      <sheetName val="16_APOLIS"/>
      <sheetName val="17_DRONE_FLYING"/>
      <sheetName val="18_112_TABS"/>
      <sheetName val="19_DIAL100_RES"/>
      <sheetName val="20_CCTV_360"/>
      <sheetName val="21_NEWS360AI"/>
      <sheetName val="Sheet1"/>
      <sheetName val="CCTNS HELP"/>
      <sheetName val="11_ABS_PEN_DIST"/>
      <sheetName val="12_ABS_PEN_SD"/>
      <sheetName val="13_CCTNS_LGN_DIST"/>
      <sheetName val="14_CCTNS_LGN_SD"/>
      <sheetName val="16_DGP_DB_SD"/>
      <sheetName val="17_MRS_DIST"/>
      <sheetName val="17_MRS_SD"/>
      <sheetName val="18_CRI_LGN_DIST"/>
      <sheetName val="19_CRI_LGN_SD"/>
      <sheetName val="21_CRI_ALE_SD"/>
      <sheetName val="22_ESAKSHYA_DIST"/>
      <sheetName val="23_ESAKSYA_SD"/>
      <sheetName val="24_SID_NC_DIST_2"/>
      <sheetName val="24_SID_NC_SD"/>
      <sheetName val="24_SID_NC_SD_2"/>
      <sheetName val="25_ITSSO_DIST"/>
      <sheetName val="25_ITSSO_DIST_2"/>
      <sheetName val="26_ITSSO_SD"/>
      <sheetName val="26_ITSSO_SD_2"/>
      <sheetName val="27_ESUMMONS"/>
      <sheetName val="28_ICJS_SF_DIST"/>
      <sheetName val="29_ICJS_SF_SD"/>
      <sheetName val="30_ICJS_WK_DIST"/>
      <sheetName val="31_ICJS_WK_SD"/>
      <sheetName val="32_ESM_DIST"/>
      <sheetName val="33_ESM_SD"/>
      <sheetName val="35_MedLEaPR_SD"/>
      <sheetName val="38_100RT_SD"/>
      <sheetName val="39_DRONES"/>
    </sheetNames>
    <sheetDataSet>
      <sheetData sheetId="0"/>
      <sheetData sheetId="1"/>
      <sheetData sheetId="2"/>
      <sheetData sheetId="3"/>
      <sheetData sheetId="4">
        <row r="2">
          <cell r="B2" t="str">
            <v>PS NAME</v>
          </cell>
          <cell r="C2" t="str">
            <v xml:space="preserve">Total Cases 
Reported </v>
          </cell>
          <cell r="D2" t="str">
            <v>No. of Cases
 required PME</v>
          </cell>
          <cell r="E2" t="str">
            <v>No. of Cases Requests Raised</v>
          </cell>
          <cell r="F2" t="str">
            <v>% Requests
Completed</v>
          </cell>
          <cell r="G2" t="str">
            <v>Raw Value</v>
          </cell>
          <cell r="H2" t="str">
            <v>Marks</v>
          </cell>
        </row>
        <row r="3">
          <cell r="B3" t="str">
            <v>V.Kota UPS</v>
          </cell>
          <cell r="C3">
            <v>7</v>
          </cell>
          <cell r="D3">
            <v>2</v>
          </cell>
          <cell r="E3">
            <v>1</v>
          </cell>
          <cell r="F3">
            <v>50</v>
          </cell>
          <cell r="G3">
            <v>50</v>
          </cell>
          <cell r="H3">
            <v>2.5</v>
          </cell>
        </row>
        <row r="4">
          <cell r="B4" t="str">
            <v>Kuppam UPS</v>
          </cell>
          <cell r="C4">
            <v>8</v>
          </cell>
          <cell r="D4">
            <v>0</v>
          </cell>
          <cell r="E4">
            <v>0</v>
          </cell>
          <cell r="F4" t="str">
            <v>100.00</v>
          </cell>
          <cell r="G4" t="str">
            <v>100.00</v>
          </cell>
          <cell r="H4">
            <v>5</v>
          </cell>
        </row>
        <row r="5">
          <cell r="B5" t="str">
            <v>Palamaner UPS</v>
          </cell>
          <cell r="C5">
            <v>2</v>
          </cell>
          <cell r="D5">
            <v>1</v>
          </cell>
          <cell r="E5">
            <v>1</v>
          </cell>
          <cell r="F5">
            <v>100</v>
          </cell>
          <cell r="G5">
            <v>100</v>
          </cell>
          <cell r="H5">
            <v>5</v>
          </cell>
        </row>
        <row r="6">
          <cell r="B6" t="str">
            <v>Bangarupalem UPS</v>
          </cell>
          <cell r="C6">
            <v>5</v>
          </cell>
          <cell r="D6">
            <v>0</v>
          </cell>
          <cell r="E6">
            <v>0</v>
          </cell>
          <cell r="F6" t="str">
            <v>100.00</v>
          </cell>
          <cell r="G6" t="str">
            <v>100.00</v>
          </cell>
          <cell r="H6">
            <v>5</v>
          </cell>
        </row>
        <row r="7">
          <cell r="B7" t="str">
            <v>Chittoor Taluk PS</v>
          </cell>
          <cell r="C7">
            <v>0</v>
          </cell>
          <cell r="D7">
            <v>0</v>
          </cell>
          <cell r="E7">
            <v>0</v>
          </cell>
          <cell r="F7" t="str">
            <v>100.00</v>
          </cell>
          <cell r="G7" t="str">
            <v>100.00</v>
          </cell>
          <cell r="H7">
            <v>5</v>
          </cell>
        </row>
        <row r="8">
          <cell r="B8" t="str">
            <v>Gangavaram UPS</v>
          </cell>
          <cell r="C8">
            <v>3</v>
          </cell>
          <cell r="D8">
            <v>0</v>
          </cell>
          <cell r="E8">
            <v>0</v>
          </cell>
          <cell r="F8" t="str">
            <v>100.00</v>
          </cell>
          <cell r="G8" t="str">
            <v>100.00</v>
          </cell>
          <cell r="H8">
            <v>5</v>
          </cell>
        </row>
        <row r="9">
          <cell r="B9" t="str">
            <v>Puthalapattu UPS</v>
          </cell>
          <cell r="C9">
            <v>2</v>
          </cell>
          <cell r="D9">
            <v>0</v>
          </cell>
          <cell r="E9">
            <v>0</v>
          </cell>
          <cell r="F9" t="str">
            <v>100.00</v>
          </cell>
          <cell r="G9" t="str">
            <v>100.00</v>
          </cell>
          <cell r="H9">
            <v>5</v>
          </cell>
        </row>
        <row r="10">
          <cell r="B10" t="str">
            <v>Rallabudugur</v>
          </cell>
          <cell r="C10">
            <v>2</v>
          </cell>
          <cell r="D10">
            <v>1</v>
          </cell>
          <cell r="E10">
            <v>1</v>
          </cell>
          <cell r="F10">
            <v>100</v>
          </cell>
          <cell r="G10">
            <v>100</v>
          </cell>
          <cell r="H10">
            <v>5</v>
          </cell>
        </row>
        <row r="11">
          <cell r="B11" t="str">
            <v>Panjani</v>
          </cell>
          <cell r="C11">
            <v>1</v>
          </cell>
          <cell r="D11">
            <v>0</v>
          </cell>
          <cell r="E11">
            <v>0</v>
          </cell>
          <cell r="F11" t="str">
            <v>100.00</v>
          </cell>
          <cell r="G11" t="str">
            <v>100.00</v>
          </cell>
          <cell r="H11">
            <v>5</v>
          </cell>
        </row>
        <row r="12">
          <cell r="B12" t="str">
            <v>Baireddypalle</v>
          </cell>
          <cell r="C12">
            <v>1</v>
          </cell>
          <cell r="D12">
            <v>1</v>
          </cell>
          <cell r="E12">
            <v>1</v>
          </cell>
          <cell r="F12">
            <v>100</v>
          </cell>
          <cell r="G12">
            <v>100</v>
          </cell>
          <cell r="H12">
            <v>5</v>
          </cell>
        </row>
        <row r="13">
          <cell r="B13" t="str">
            <v>Vedurukuppam</v>
          </cell>
          <cell r="C13">
            <v>2</v>
          </cell>
          <cell r="D13">
            <v>2</v>
          </cell>
          <cell r="E13">
            <v>2</v>
          </cell>
          <cell r="F13">
            <v>100</v>
          </cell>
          <cell r="G13">
            <v>100</v>
          </cell>
          <cell r="H13">
            <v>5</v>
          </cell>
        </row>
        <row r="14">
          <cell r="B14" t="str">
            <v>Nagari UPS</v>
          </cell>
          <cell r="C14">
            <v>4</v>
          </cell>
          <cell r="D14">
            <v>0</v>
          </cell>
          <cell r="E14">
            <v>0</v>
          </cell>
          <cell r="F14" t="str">
            <v>100.00</v>
          </cell>
          <cell r="G14" t="str">
            <v>100.00</v>
          </cell>
          <cell r="H14">
            <v>5</v>
          </cell>
        </row>
        <row r="15">
          <cell r="B15" t="str">
            <v>S.R.Puram</v>
          </cell>
          <cell r="C15">
            <v>3</v>
          </cell>
          <cell r="D15">
            <v>0</v>
          </cell>
          <cell r="E15">
            <v>0</v>
          </cell>
          <cell r="F15" t="str">
            <v>100.00</v>
          </cell>
          <cell r="G15" t="str">
            <v>100.00</v>
          </cell>
          <cell r="H15">
            <v>5</v>
          </cell>
        </row>
        <row r="16">
          <cell r="B16" t="str">
            <v>G.D.Nellore UPS</v>
          </cell>
          <cell r="C16">
            <v>1</v>
          </cell>
          <cell r="D16">
            <v>0</v>
          </cell>
          <cell r="E16">
            <v>0</v>
          </cell>
          <cell r="F16" t="str">
            <v>100.00</v>
          </cell>
          <cell r="G16" t="str">
            <v>100.00</v>
          </cell>
          <cell r="H16">
            <v>5</v>
          </cell>
        </row>
        <row r="17">
          <cell r="B17" t="str">
            <v>Thavanampalle</v>
          </cell>
          <cell r="C17">
            <v>2</v>
          </cell>
          <cell r="D17">
            <v>1</v>
          </cell>
          <cell r="E17">
            <v>1</v>
          </cell>
          <cell r="F17">
            <v>100</v>
          </cell>
          <cell r="G17">
            <v>100</v>
          </cell>
          <cell r="H17">
            <v>5</v>
          </cell>
        </row>
        <row r="18">
          <cell r="B18" t="str">
            <v>Chittoor Traffic UPS</v>
          </cell>
          <cell r="C18">
            <v>1</v>
          </cell>
          <cell r="D18">
            <v>0</v>
          </cell>
          <cell r="E18">
            <v>0</v>
          </cell>
          <cell r="F18" t="str">
            <v>100.00</v>
          </cell>
          <cell r="G18" t="str">
            <v>100.00</v>
          </cell>
          <cell r="H18">
            <v>5</v>
          </cell>
        </row>
        <row r="19">
          <cell r="B19" t="str">
            <v>Penumur</v>
          </cell>
          <cell r="C19">
            <v>0</v>
          </cell>
          <cell r="D19">
            <v>0</v>
          </cell>
          <cell r="E19">
            <v>0</v>
          </cell>
          <cell r="F19" t="str">
            <v>100.00</v>
          </cell>
          <cell r="G19" t="str">
            <v>100.00</v>
          </cell>
          <cell r="H19">
            <v>5</v>
          </cell>
        </row>
        <row r="20">
          <cell r="B20" t="str">
            <v>Chittoor II Town UPS</v>
          </cell>
          <cell r="C20">
            <v>5</v>
          </cell>
          <cell r="D20">
            <v>1</v>
          </cell>
          <cell r="E20">
            <v>1</v>
          </cell>
          <cell r="F20">
            <v>100</v>
          </cell>
          <cell r="G20">
            <v>100</v>
          </cell>
          <cell r="H20">
            <v>5</v>
          </cell>
        </row>
        <row r="21">
          <cell r="B21" t="str">
            <v>Gudipalli</v>
          </cell>
          <cell r="C21">
            <v>4</v>
          </cell>
          <cell r="D21">
            <v>0</v>
          </cell>
          <cell r="E21">
            <v>0</v>
          </cell>
          <cell r="F21" t="str">
            <v>100.00</v>
          </cell>
          <cell r="G21" t="str">
            <v>100.00</v>
          </cell>
          <cell r="H21">
            <v>5</v>
          </cell>
        </row>
        <row r="22">
          <cell r="B22" t="str">
            <v>Irala</v>
          </cell>
          <cell r="C22">
            <v>3</v>
          </cell>
          <cell r="D22">
            <v>0</v>
          </cell>
          <cell r="E22">
            <v>0</v>
          </cell>
          <cell r="F22" t="str">
            <v>100.00</v>
          </cell>
          <cell r="G22" t="str">
            <v>100.00</v>
          </cell>
          <cell r="H22">
            <v>5</v>
          </cell>
        </row>
        <row r="23">
          <cell r="B23" t="str">
            <v>Gudipala</v>
          </cell>
          <cell r="C23">
            <v>1</v>
          </cell>
          <cell r="D23">
            <v>1</v>
          </cell>
          <cell r="E23">
            <v>1</v>
          </cell>
          <cell r="F23">
            <v>100</v>
          </cell>
          <cell r="G23">
            <v>100</v>
          </cell>
          <cell r="H23">
            <v>5</v>
          </cell>
        </row>
        <row r="24">
          <cell r="B24" t="str">
            <v>K. Nagar</v>
          </cell>
          <cell r="C24">
            <v>1</v>
          </cell>
          <cell r="D24">
            <v>1</v>
          </cell>
          <cell r="E24">
            <v>1</v>
          </cell>
          <cell r="F24">
            <v>100</v>
          </cell>
          <cell r="G24">
            <v>100</v>
          </cell>
          <cell r="H24">
            <v>5</v>
          </cell>
        </row>
        <row r="25">
          <cell r="B25" t="str">
            <v>Yadamari</v>
          </cell>
          <cell r="C25">
            <v>2</v>
          </cell>
          <cell r="D25">
            <v>1</v>
          </cell>
          <cell r="E25">
            <v>1</v>
          </cell>
          <cell r="F25">
            <v>100</v>
          </cell>
          <cell r="G25">
            <v>100</v>
          </cell>
          <cell r="H25">
            <v>5</v>
          </cell>
        </row>
        <row r="26">
          <cell r="B26" t="str">
            <v>Kallur</v>
          </cell>
          <cell r="C26">
            <v>1</v>
          </cell>
          <cell r="D26">
            <v>1</v>
          </cell>
          <cell r="E26">
            <v>1</v>
          </cell>
          <cell r="F26">
            <v>100</v>
          </cell>
          <cell r="G26">
            <v>100</v>
          </cell>
          <cell r="H26">
            <v>5</v>
          </cell>
        </row>
        <row r="27">
          <cell r="B27" t="str">
            <v>Chittoor I Town UPS</v>
          </cell>
          <cell r="C27">
            <v>3</v>
          </cell>
          <cell r="D27">
            <v>0</v>
          </cell>
          <cell r="E27">
            <v>0</v>
          </cell>
          <cell r="F27" t="str">
            <v>100.00</v>
          </cell>
          <cell r="G27" t="str">
            <v>100.00</v>
          </cell>
          <cell r="H27">
            <v>5</v>
          </cell>
        </row>
        <row r="28">
          <cell r="B28" t="str">
            <v>Kanipakam</v>
          </cell>
          <cell r="C28">
            <v>2</v>
          </cell>
          <cell r="D28">
            <v>1</v>
          </cell>
          <cell r="E28">
            <v>2</v>
          </cell>
          <cell r="F28" t="str">
            <v>100.00</v>
          </cell>
          <cell r="G28" t="str">
            <v>100.00</v>
          </cell>
          <cell r="H28">
            <v>5</v>
          </cell>
        </row>
        <row r="29">
          <cell r="B29" t="str">
            <v>Rompicherla</v>
          </cell>
          <cell r="C29">
            <v>0</v>
          </cell>
          <cell r="D29">
            <v>0</v>
          </cell>
          <cell r="E29">
            <v>0</v>
          </cell>
          <cell r="F29" t="str">
            <v>100.00</v>
          </cell>
          <cell r="G29" t="str">
            <v>100.00</v>
          </cell>
          <cell r="H29">
            <v>5</v>
          </cell>
        </row>
        <row r="30">
          <cell r="B30" t="str">
            <v>Vijayapuram</v>
          </cell>
          <cell r="C30">
            <v>1</v>
          </cell>
          <cell r="D30">
            <v>0</v>
          </cell>
          <cell r="E30">
            <v>0</v>
          </cell>
          <cell r="F30" t="str">
            <v>100.00</v>
          </cell>
          <cell r="G30" t="str">
            <v>100.00</v>
          </cell>
          <cell r="H30">
            <v>5</v>
          </cell>
        </row>
        <row r="31">
          <cell r="B31" t="str">
            <v>Ramakuppam</v>
          </cell>
          <cell r="C31">
            <v>1</v>
          </cell>
          <cell r="D31">
            <v>0</v>
          </cell>
          <cell r="E31">
            <v>0</v>
          </cell>
          <cell r="F31" t="str">
            <v>100.00</v>
          </cell>
          <cell r="G31" t="str">
            <v>100.00</v>
          </cell>
          <cell r="H31">
            <v>5</v>
          </cell>
        </row>
        <row r="32">
          <cell r="B32" t="str">
            <v>Nindra</v>
          </cell>
          <cell r="C32">
            <v>1</v>
          </cell>
          <cell r="D32">
            <v>0</v>
          </cell>
          <cell r="E32">
            <v>0</v>
          </cell>
          <cell r="F32" t="str">
            <v>100.00</v>
          </cell>
          <cell r="G32" t="str">
            <v>100.00</v>
          </cell>
          <cell r="H32">
            <v>5</v>
          </cell>
        </row>
        <row r="33">
          <cell r="B33" t="str">
            <v>Narsingarayanipet(N.R.Pet)</v>
          </cell>
          <cell r="C33">
            <v>1</v>
          </cell>
          <cell r="D33">
            <v>1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</row>
        <row r="34">
          <cell r="B34" t="str">
            <v>Palasamudram</v>
          </cell>
          <cell r="C34">
            <v>0</v>
          </cell>
          <cell r="D34">
            <v>0</v>
          </cell>
          <cell r="E34">
            <v>0</v>
          </cell>
          <cell r="F34" t="str">
            <v>100.00</v>
          </cell>
          <cell r="G34" t="str">
            <v>100.00</v>
          </cell>
          <cell r="H34">
            <v>5</v>
          </cell>
        </row>
        <row r="35">
          <cell r="B35" t="str">
            <v>Mahila UPS, Chittoor</v>
          </cell>
          <cell r="C35">
            <v>0</v>
          </cell>
          <cell r="D35">
            <v>0</v>
          </cell>
          <cell r="E35">
            <v>0</v>
          </cell>
          <cell r="F35" t="str">
            <v>100.00</v>
          </cell>
          <cell r="G35" t="str">
            <v>100.00</v>
          </cell>
          <cell r="H35">
            <v>5</v>
          </cell>
        </row>
        <row r="36">
          <cell r="B36" t="str">
            <v>CCS Chittoor UPS</v>
          </cell>
          <cell r="C36">
            <v>0</v>
          </cell>
          <cell r="D36">
            <v>0</v>
          </cell>
          <cell r="E36">
            <v>0</v>
          </cell>
          <cell r="F36" t="str">
            <v>100.00</v>
          </cell>
          <cell r="G36" t="str">
            <v>100.00</v>
          </cell>
          <cell r="H36">
            <v>5</v>
          </cell>
        </row>
        <row r="37">
          <cell r="C37">
            <v>70</v>
          </cell>
          <cell r="D37">
            <v>15</v>
          </cell>
          <cell r="E37">
            <v>14</v>
          </cell>
          <cell r="F37">
            <v>87.5</v>
          </cell>
          <cell r="G37">
            <v>87.5</v>
          </cell>
        </row>
      </sheetData>
      <sheetData sheetId="5">
        <row r="2">
          <cell r="B2" t="str">
            <v>PS NAME</v>
          </cell>
          <cell r="C2" t="str">
            <v xml:space="preserve">Total Cases 
Reported </v>
          </cell>
          <cell r="D2" t="str">
            <v>No. of Cases
 required MLC</v>
          </cell>
          <cell r="E2" t="str">
            <v>No. of Cases Requests Raised</v>
          </cell>
          <cell r="F2" t="str">
            <v>% Requests</v>
          </cell>
          <cell r="G2" t="str">
            <v>Raw 
Value</v>
          </cell>
          <cell r="H2" t="str">
            <v>Marks</v>
          </cell>
        </row>
        <row r="3">
          <cell r="B3" t="str">
            <v>V.Kota UPS</v>
          </cell>
          <cell r="C3">
            <v>7</v>
          </cell>
          <cell r="D3">
            <v>4</v>
          </cell>
          <cell r="E3">
            <v>4</v>
          </cell>
          <cell r="F3">
            <v>100</v>
          </cell>
          <cell r="G3">
            <v>100</v>
          </cell>
          <cell r="H3">
            <v>5</v>
          </cell>
        </row>
        <row r="4">
          <cell r="B4" t="str">
            <v>Kuppam UPS</v>
          </cell>
          <cell r="C4">
            <v>8</v>
          </cell>
          <cell r="D4">
            <v>3</v>
          </cell>
          <cell r="E4">
            <v>2</v>
          </cell>
          <cell r="F4">
            <v>66.666666666666671</v>
          </cell>
          <cell r="G4">
            <v>66.666666666666671</v>
          </cell>
          <cell r="H4">
            <v>3.3333333333333339</v>
          </cell>
        </row>
        <row r="5">
          <cell r="B5" t="str">
            <v>Palamaner UPS</v>
          </cell>
          <cell r="C5">
            <v>2</v>
          </cell>
          <cell r="D5">
            <v>0</v>
          </cell>
          <cell r="E5">
            <v>0</v>
          </cell>
          <cell r="F5" t="str">
            <v>100.00</v>
          </cell>
          <cell r="G5" t="str">
            <v>100.00</v>
          </cell>
          <cell r="H5">
            <v>5</v>
          </cell>
        </row>
        <row r="6">
          <cell r="B6" t="str">
            <v>Bangarupalem UPS</v>
          </cell>
          <cell r="C6">
            <v>5</v>
          </cell>
          <cell r="D6">
            <v>2</v>
          </cell>
          <cell r="E6">
            <v>2</v>
          </cell>
          <cell r="F6">
            <v>100</v>
          </cell>
          <cell r="G6">
            <v>100</v>
          </cell>
          <cell r="H6">
            <v>5</v>
          </cell>
        </row>
        <row r="7">
          <cell r="B7" t="str">
            <v>Chittoor Taluk PS</v>
          </cell>
          <cell r="C7">
            <v>0</v>
          </cell>
          <cell r="D7">
            <v>0</v>
          </cell>
          <cell r="E7">
            <v>0</v>
          </cell>
          <cell r="F7" t="str">
            <v>100.00</v>
          </cell>
          <cell r="G7" t="str">
            <v>100.00</v>
          </cell>
          <cell r="H7">
            <v>5</v>
          </cell>
        </row>
        <row r="8">
          <cell r="B8" t="str">
            <v>Gangavaram UPS</v>
          </cell>
          <cell r="C8">
            <v>3</v>
          </cell>
          <cell r="D8">
            <v>0</v>
          </cell>
          <cell r="E8">
            <v>0</v>
          </cell>
          <cell r="F8" t="str">
            <v>100.00</v>
          </cell>
          <cell r="G8" t="str">
            <v>100.00</v>
          </cell>
          <cell r="H8">
            <v>5</v>
          </cell>
        </row>
        <row r="9">
          <cell r="B9" t="str">
            <v>Puthalapattu UPS</v>
          </cell>
          <cell r="C9">
            <v>2</v>
          </cell>
          <cell r="D9">
            <v>1</v>
          </cell>
          <cell r="E9">
            <v>1</v>
          </cell>
          <cell r="F9">
            <v>100</v>
          </cell>
          <cell r="G9">
            <v>100</v>
          </cell>
          <cell r="H9">
            <v>5</v>
          </cell>
        </row>
        <row r="10">
          <cell r="B10" t="str">
            <v>Rallabudugur</v>
          </cell>
          <cell r="C10">
            <v>2</v>
          </cell>
          <cell r="D10">
            <v>0</v>
          </cell>
          <cell r="E10">
            <v>0</v>
          </cell>
          <cell r="F10" t="str">
            <v>100.00</v>
          </cell>
          <cell r="G10" t="str">
            <v>100.00</v>
          </cell>
          <cell r="H10">
            <v>5</v>
          </cell>
        </row>
        <row r="11">
          <cell r="B11" t="str">
            <v>Panjani</v>
          </cell>
          <cell r="C11">
            <v>1</v>
          </cell>
          <cell r="D11">
            <v>1</v>
          </cell>
          <cell r="E11">
            <v>1</v>
          </cell>
          <cell r="F11">
            <v>100</v>
          </cell>
          <cell r="G11">
            <v>100</v>
          </cell>
          <cell r="H11">
            <v>5</v>
          </cell>
        </row>
        <row r="12">
          <cell r="B12" t="str">
            <v>Baireddypalle</v>
          </cell>
          <cell r="C12">
            <v>1</v>
          </cell>
          <cell r="D12">
            <v>0</v>
          </cell>
          <cell r="E12">
            <v>0</v>
          </cell>
          <cell r="F12" t="str">
            <v>100.00</v>
          </cell>
          <cell r="G12" t="str">
            <v>100.00</v>
          </cell>
          <cell r="H12">
            <v>5</v>
          </cell>
        </row>
        <row r="13">
          <cell r="B13" t="str">
            <v>Vedurukuppam</v>
          </cell>
          <cell r="C13">
            <v>2</v>
          </cell>
          <cell r="D13">
            <v>0</v>
          </cell>
          <cell r="E13">
            <v>0</v>
          </cell>
          <cell r="F13" t="str">
            <v>100.00</v>
          </cell>
          <cell r="G13" t="str">
            <v>100.00</v>
          </cell>
          <cell r="H13">
            <v>5</v>
          </cell>
        </row>
        <row r="14">
          <cell r="B14" t="str">
            <v>Nagari UPS</v>
          </cell>
          <cell r="C14">
            <v>4</v>
          </cell>
          <cell r="D14">
            <v>1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</row>
        <row r="15">
          <cell r="B15" t="str">
            <v>S.R.Puram</v>
          </cell>
          <cell r="C15">
            <v>3</v>
          </cell>
          <cell r="D15">
            <v>2</v>
          </cell>
          <cell r="E15">
            <v>2</v>
          </cell>
          <cell r="F15">
            <v>100</v>
          </cell>
          <cell r="G15">
            <v>100</v>
          </cell>
          <cell r="H15">
            <v>5</v>
          </cell>
        </row>
        <row r="16">
          <cell r="B16" t="str">
            <v>G.D.Nellore UPS</v>
          </cell>
          <cell r="C16">
            <v>1</v>
          </cell>
          <cell r="D16">
            <v>1</v>
          </cell>
          <cell r="E16">
            <v>1</v>
          </cell>
          <cell r="F16">
            <v>100</v>
          </cell>
          <cell r="G16">
            <v>100</v>
          </cell>
          <cell r="H16">
            <v>5</v>
          </cell>
        </row>
        <row r="17">
          <cell r="B17" t="str">
            <v>Thavanampalle</v>
          </cell>
          <cell r="C17">
            <v>2</v>
          </cell>
          <cell r="D17">
            <v>0</v>
          </cell>
          <cell r="E17">
            <v>0</v>
          </cell>
          <cell r="F17" t="str">
            <v>100.00</v>
          </cell>
          <cell r="G17" t="str">
            <v>100.00</v>
          </cell>
          <cell r="H17">
            <v>5</v>
          </cell>
        </row>
        <row r="18">
          <cell r="B18" t="str">
            <v>Chittoor Traffic UPS</v>
          </cell>
          <cell r="C18">
            <v>1</v>
          </cell>
          <cell r="D18">
            <v>1</v>
          </cell>
          <cell r="E18">
            <v>2</v>
          </cell>
          <cell r="F18" t="str">
            <v>100.00</v>
          </cell>
          <cell r="G18" t="str">
            <v>100.00</v>
          </cell>
          <cell r="H18">
            <v>5</v>
          </cell>
        </row>
        <row r="19">
          <cell r="B19" t="str">
            <v>Penumur</v>
          </cell>
          <cell r="C19">
            <v>0</v>
          </cell>
          <cell r="D19">
            <v>0</v>
          </cell>
          <cell r="E19">
            <v>0</v>
          </cell>
          <cell r="F19" t="str">
            <v>100.00</v>
          </cell>
          <cell r="G19" t="str">
            <v>100.00</v>
          </cell>
          <cell r="H19">
            <v>5</v>
          </cell>
        </row>
        <row r="20">
          <cell r="B20" t="str">
            <v>Chittoor II Town UPS</v>
          </cell>
          <cell r="C20">
            <v>5</v>
          </cell>
          <cell r="D20">
            <v>1</v>
          </cell>
          <cell r="E20">
            <v>1</v>
          </cell>
          <cell r="F20">
            <v>100</v>
          </cell>
          <cell r="G20">
            <v>100</v>
          </cell>
          <cell r="H20">
            <v>5</v>
          </cell>
        </row>
        <row r="21">
          <cell r="B21" t="str">
            <v>Gudipalli</v>
          </cell>
          <cell r="C21">
            <v>4</v>
          </cell>
          <cell r="D21">
            <v>1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</row>
        <row r="22">
          <cell r="B22" t="str">
            <v>Irala</v>
          </cell>
          <cell r="C22">
            <v>3</v>
          </cell>
          <cell r="D22">
            <v>1</v>
          </cell>
          <cell r="E22">
            <v>1</v>
          </cell>
          <cell r="F22">
            <v>100</v>
          </cell>
          <cell r="G22">
            <v>100</v>
          </cell>
          <cell r="H22">
            <v>5</v>
          </cell>
        </row>
        <row r="23">
          <cell r="B23" t="str">
            <v>Gudipala</v>
          </cell>
          <cell r="C23">
            <v>1</v>
          </cell>
          <cell r="D23">
            <v>1</v>
          </cell>
          <cell r="E23">
            <v>3</v>
          </cell>
          <cell r="F23" t="str">
            <v>100.00</v>
          </cell>
          <cell r="G23" t="str">
            <v>100.00</v>
          </cell>
          <cell r="H23">
            <v>5</v>
          </cell>
        </row>
        <row r="24">
          <cell r="B24" t="str">
            <v>K. Nagar</v>
          </cell>
          <cell r="C24">
            <v>1</v>
          </cell>
          <cell r="D24">
            <v>0</v>
          </cell>
          <cell r="E24">
            <v>0</v>
          </cell>
          <cell r="F24" t="str">
            <v>100.00</v>
          </cell>
          <cell r="G24" t="str">
            <v>100.00</v>
          </cell>
          <cell r="H24">
            <v>5</v>
          </cell>
        </row>
        <row r="25">
          <cell r="B25" t="str">
            <v>Yadamari</v>
          </cell>
          <cell r="C25">
            <v>2</v>
          </cell>
          <cell r="D25">
            <v>0</v>
          </cell>
          <cell r="E25">
            <v>0</v>
          </cell>
          <cell r="F25" t="str">
            <v>100.00</v>
          </cell>
          <cell r="G25" t="str">
            <v>100.00</v>
          </cell>
          <cell r="H25">
            <v>5</v>
          </cell>
        </row>
        <row r="26">
          <cell r="B26" t="str">
            <v>Kallur</v>
          </cell>
          <cell r="C26">
            <v>1</v>
          </cell>
          <cell r="D26">
            <v>0</v>
          </cell>
          <cell r="E26">
            <v>0</v>
          </cell>
          <cell r="F26" t="str">
            <v>100.00</v>
          </cell>
          <cell r="G26" t="str">
            <v>100.00</v>
          </cell>
          <cell r="H26">
            <v>5</v>
          </cell>
        </row>
        <row r="27">
          <cell r="B27" t="str">
            <v>Chittoor I Town UPS</v>
          </cell>
          <cell r="C27">
            <v>3</v>
          </cell>
          <cell r="D27">
            <v>0</v>
          </cell>
          <cell r="E27">
            <v>0</v>
          </cell>
          <cell r="F27" t="str">
            <v>100.00</v>
          </cell>
          <cell r="G27" t="str">
            <v>100.00</v>
          </cell>
          <cell r="H27">
            <v>5</v>
          </cell>
        </row>
        <row r="28">
          <cell r="B28" t="str">
            <v>Kanipakam</v>
          </cell>
          <cell r="C28">
            <v>2</v>
          </cell>
          <cell r="D28">
            <v>1</v>
          </cell>
          <cell r="E28">
            <v>1</v>
          </cell>
          <cell r="F28">
            <v>100</v>
          </cell>
          <cell r="G28">
            <v>100</v>
          </cell>
          <cell r="H28">
            <v>5</v>
          </cell>
        </row>
        <row r="29">
          <cell r="B29" t="str">
            <v>Rompicherla</v>
          </cell>
          <cell r="C29">
            <v>0</v>
          </cell>
          <cell r="D29">
            <v>0</v>
          </cell>
          <cell r="E29">
            <v>0</v>
          </cell>
          <cell r="F29" t="str">
            <v>100.00</v>
          </cell>
          <cell r="G29" t="str">
            <v>100.00</v>
          </cell>
          <cell r="H29">
            <v>5</v>
          </cell>
        </row>
        <row r="30">
          <cell r="B30" t="str">
            <v>Vijayapuram</v>
          </cell>
          <cell r="C30">
            <v>1</v>
          </cell>
          <cell r="D30">
            <v>0</v>
          </cell>
          <cell r="E30">
            <v>0</v>
          </cell>
          <cell r="F30" t="str">
            <v>100.00</v>
          </cell>
          <cell r="G30" t="str">
            <v>100.00</v>
          </cell>
          <cell r="H30">
            <v>5</v>
          </cell>
        </row>
        <row r="31">
          <cell r="B31" t="str">
            <v>Ramakuppam</v>
          </cell>
          <cell r="C31">
            <v>1</v>
          </cell>
          <cell r="D31">
            <v>0</v>
          </cell>
          <cell r="E31">
            <v>0</v>
          </cell>
          <cell r="F31" t="str">
            <v>100.00</v>
          </cell>
          <cell r="G31" t="str">
            <v>100.00</v>
          </cell>
          <cell r="H31">
            <v>5</v>
          </cell>
        </row>
        <row r="32">
          <cell r="B32" t="str">
            <v>Nindra</v>
          </cell>
          <cell r="C32">
            <v>1</v>
          </cell>
          <cell r="D32">
            <v>0</v>
          </cell>
          <cell r="E32">
            <v>0</v>
          </cell>
          <cell r="F32" t="str">
            <v>100.00</v>
          </cell>
          <cell r="G32" t="str">
            <v>100.00</v>
          </cell>
          <cell r="H32">
            <v>5</v>
          </cell>
        </row>
        <row r="33">
          <cell r="B33" t="str">
            <v>Narsingarayanipet(N.R.Pet)</v>
          </cell>
          <cell r="C33">
            <v>1</v>
          </cell>
          <cell r="D33">
            <v>0</v>
          </cell>
          <cell r="E33">
            <v>0</v>
          </cell>
          <cell r="F33" t="str">
            <v>100.00</v>
          </cell>
          <cell r="G33" t="str">
            <v>100.00</v>
          </cell>
          <cell r="H33">
            <v>5</v>
          </cell>
        </row>
        <row r="34">
          <cell r="B34" t="str">
            <v>Palasamudram</v>
          </cell>
          <cell r="C34">
            <v>0</v>
          </cell>
          <cell r="D34">
            <v>0</v>
          </cell>
          <cell r="E34">
            <v>0</v>
          </cell>
          <cell r="F34" t="str">
            <v>100.00</v>
          </cell>
          <cell r="G34" t="str">
            <v>100.00</v>
          </cell>
          <cell r="H34">
            <v>5</v>
          </cell>
        </row>
        <row r="35">
          <cell r="B35" t="str">
            <v>Mahila UPS, Chittoor</v>
          </cell>
          <cell r="C35">
            <v>0</v>
          </cell>
          <cell r="D35">
            <v>0</v>
          </cell>
          <cell r="E35">
            <v>0</v>
          </cell>
          <cell r="F35" t="str">
            <v>100.00</v>
          </cell>
          <cell r="G35" t="str">
            <v>100.00</v>
          </cell>
          <cell r="H35">
            <v>5</v>
          </cell>
        </row>
        <row r="36">
          <cell r="B36" t="str">
            <v>CCS Chittoor UPS</v>
          </cell>
          <cell r="C36">
            <v>0</v>
          </cell>
          <cell r="D36">
            <v>0</v>
          </cell>
          <cell r="E36">
            <v>0</v>
          </cell>
          <cell r="F36" t="str">
            <v>100.00</v>
          </cell>
          <cell r="G36" t="str">
            <v>100.00</v>
          </cell>
          <cell r="H36">
            <v>5</v>
          </cell>
        </row>
        <row r="37">
          <cell r="C37">
            <v>70</v>
          </cell>
          <cell r="D37">
            <v>21</v>
          </cell>
          <cell r="E37">
            <v>21</v>
          </cell>
          <cell r="F37">
            <v>80.555555555555557</v>
          </cell>
          <cell r="G37">
            <v>80.555555555555557</v>
          </cell>
        </row>
      </sheetData>
      <sheetData sheetId="6">
        <row r="2">
          <cell r="B2" t="str">
            <v>PS NAME</v>
          </cell>
          <cell r="C2" t="str">
            <v>Total Gandiva searches</v>
          </cell>
          <cell r="D2" t="str">
            <v>Total Sudarshan searches</v>
          </cell>
          <cell r="E2" t="str">
            <v>Gandiva
Raw Value</v>
          </cell>
          <cell r="F2" t="str">
            <v>Sudharshan Raw Value</v>
          </cell>
          <cell r="G2" t="str">
            <v>NATGRID
Raw Value</v>
          </cell>
          <cell r="H2" t="str">
            <v>Marks</v>
          </cell>
        </row>
        <row r="3">
          <cell r="B3" t="str">
            <v>V.Kota UPS</v>
          </cell>
          <cell r="C3" t="str">
            <v>NA</v>
          </cell>
          <cell r="D3" t="str">
            <v>NA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</row>
        <row r="4">
          <cell r="B4" t="str">
            <v>Kuppam UPS</v>
          </cell>
          <cell r="C4" t="str">
            <v>NA</v>
          </cell>
          <cell r="D4" t="str">
            <v>NA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</row>
        <row r="5">
          <cell r="B5" t="str">
            <v>Palamaner UPS</v>
          </cell>
          <cell r="C5" t="str">
            <v>NA</v>
          </cell>
          <cell r="D5" t="str">
            <v>NA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</row>
        <row r="6">
          <cell r="B6" t="str">
            <v>Bangarupalem UPS</v>
          </cell>
          <cell r="C6" t="str">
            <v>NA</v>
          </cell>
          <cell r="D6" t="str">
            <v>NA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</row>
        <row r="7">
          <cell r="B7" t="str">
            <v>Chittoor Taluk PS</v>
          </cell>
          <cell r="C7" t="str">
            <v>NA</v>
          </cell>
          <cell r="D7" t="str">
            <v>NA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</row>
        <row r="8">
          <cell r="B8" t="str">
            <v>Gangavaram UPS</v>
          </cell>
          <cell r="C8" t="str">
            <v>NA</v>
          </cell>
          <cell r="D8" t="str">
            <v>NA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</row>
        <row r="9">
          <cell r="B9" t="str">
            <v>Puthalapattu UPS</v>
          </cell>
          <cell r="C9" t="str">
            <v>NA</v>
          </cell>
          <cell r="D9" t="str">
            <v>NA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</row>
        <row r="10">
          <cell r="B10" t="str">
            <v>Rallabudugur</v>
          </cell>
          <cell r="C10" t="str">
            <v>NA</v>
          </cell>
          <cell r="D10" t="str">
            <v>NA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</row>
        <row r="11">
          <cell r="B11" t="str">
            <v>Panjani</v>
          </cell>
          <cell r="C11" t="str">
            <v>NA</v>
          </cell>
          <cell r="D11" t="str">
            <v>NA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</row>
        <row r="12">
          <cell r="B12" t="str">
            <v>Baireddypalle</v>
          </cell>
          <cell r="C12" t="str">
            <v>NA</v>
          </cell>
          <cell r="D12" t="str">
            <v>NA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</row>
        <row r="13">
          <cell r="B13" t="str">
            <v>Vedurukuppam</v>
          </cell>
          <cell r="C13" t="str">
            <v>NA</v>
          </cell>
          <cell r="D13" t="str">
            <v>NA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</row>
        <row r="14">
          <cell r="B14" t="str">
            <v>Nagari UPS</v>
          </cell>
          <cell r="C14" t="str">
            <v>NA</v>
          </cell>
          <cell r="D14" t="str">
            <v>NA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</row>
        <row r="15">
          <cell r="B15" t="str">
            <v>S.R.Puram</v>
          </cell>
          <cell r="C15" t="str">
            <v>NA</v>
          </cell>
          <cell r="D15" t="str">
            <v>NA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</row>
        <row r="16">
          <cell r="B16" t="str">
            <v>G.D.Nellore UPS</v>
          </cell>
          <cell r="C16" t="str">
            <v>NA</v>
          </cell>
          <cell r="D16" t="str">
            <v>NA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</row>
        <row r="17">
          <cell r="B17" t="str">
            <v>Thavanampalle</v>
          </cell>
          <cell r="C17" t="str">
            <v>NA</v>
          </cell>
          <cell r="D17" t="str">
            <v>NA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</row>
        <row r="18">
          <cell r="B18" t="str">
            <v>Chittoor Traffic UPS</v>
          </cell>
          <cell r="C18" t="str">
            <v>NA</v>
          </cell>
          <cell r="D18" t="str">
            <v>NA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</row>
        <row r="19">
          <cell r="B19" t="str">
            <v>Penumur</v>
          </cell>
          <cell r="C19" t="str">
            <v>NA</v>
          </cell>
          <cell r="D19" t="str">
            <v>NA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</row>
        <row r="20">
          <cell r="B20" t="str">
            <v>Chittoor II Town UPS</v>
          </cell>
          <cell r="C20" t="str">
            <v>NA</v>
          </cell>
          <cell r="D20" t="str">
            <v>NA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</row>
        <row r="21">
          <cell r="B21" t="str">
            <v>Gudipalli</v>
          </cell>
          <cell r="C21" t="str">
            <v>NA</v>
          </cell>
          <cell r="D21" t="str">
            <v>NA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</row>
        <row r="22">
          <cell r="B22" t="str">
            <v>Irala</v>
          </cell>
          <cell r="C22" t="str">
            <v>NA</v>
          </cell>
          <cell r="D22" t="str">
            <v>NA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</row>
        <row r="23">
          <cell r="B23" t="str">
            <v>Gudipala</v>
          </cell>
          <cell r="C23" t="str">
            <v>NA</v>
          </cell>
          <cell r="D23" t="str">
            <v>NA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</row>
        <row r="24">
          <cell r="B24" t="str">
            <v>K. Nagar</v>
          </cell>
          <cell r="C24" t="str">
            <v>NA</v>
          </cell>
          <cell r="D24" t="str">
            <v>NA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</row>
        <row r="25">
          <cell r="B25" t="str">
            <v>Yadamari</v>
          </cell>
          <cell r="C25" t="str">
            <v>NA</v>
          </cell>
          <cell r="D25" t="str">
            <v>NA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</row>
        <row r="26">
          <cell r="B26" t="str">
            <v>Kallur</v>
          </cell>
          <cell r="C26" t="str">
            <v>NA</v>
          </cell>
          <cell r="D26" t="str">
            <v>NA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</row>
        <row r="27">
          <cell r="B27" t="str">
            <v>Chittoor I Town UPS</v>
          </cell>
          <cell r="C27" t="str">
            <v>NA</v>
          </cell>
          <cell r="D27" t="str">
            <v>NA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</row>
        <row r="28">
          <cell r="B28" t="str">
            <v>Kanipakam</v>
          </cell>
          <cell r="C28" t="str">
            <v>NA</v>
          </cell>
          <cell r="D28" t="str">
            <v>NA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</row>
        <row r="29">
          <cell r="B29" t="str">
            <v>Rompicherla</v>
          </cell>
          <cell r="C29" t="str">
            <v>NA</v>
          </cell>
          <cell r="D29" t="str">
            <v>NA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</row>
        <row r="30">
          <cell r="B30" t="str">
            <v>Vijayapuram</v>
          </cell>
          <cell r="C30" t="str">
            <v>NA</v>
          </cell>
          <cell r="D30" t="str">
            <v>NA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</row>
        <row r="31">
          <cell r="B31" t="str">
            <v>Ramakuppam</v>
          </cell>
          <cell r="C31" t="str">
            <v>NA</v>
          </cell>
          <cell r="D31" t="str">
            <v>NA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</row>
        <row r="32">
          <cell r="B32" t="str">
            <v>Nindra</v>
          </cell>
          <cell r="C32" t="str">
            <v>NA</v>
          </cell>
          <cell r="D32" t="str">
            <v>NA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</row>
        <row r="33">
          <cell r="B33" t="str">
            <v>Narsingarayanipet(N.R.Pet)</v>
          </cell>
          <cell r="C33" t="str">
            <v>NA</v>
          </cell>
          <cell r="D33" t="str">
            <v>NA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</row>
        <row r="34">
          <cell r="B34" t="str">
            <v>Palasamudram</v>
          </cell>
          <cell r="C34" t="str">
            <v>NA</v>
          </cell>
          <cell r="D34" t="str">
            <v>NA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</row>
        <row r="35">
          <cell r="B35" t="str">
            <v>Mahila UPS, Chittoor</v>
          </cell>
          <cell r="C35" t="str">
            <v>NA</v>
          </cell>
          <cell r="D35" t="str">
            <v>NA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</row>
        <row r="36">
          <cell r="B36" t="str">
            <v>CCS Chittoor UPS</v>
          </cell>
          <cell r="C36" t="str">
            <v>NA</v>
          </cell>
          <cell r="D36" t="str">
            <v>NA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</row>
        <row r="37"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</sheetData>
      <sheetData sheetId="7">
        <row r="2">
          <cell r="B2" t="str">
            <v>Police Station</v>
          </cell>
          <cell r="C2" t="str">
            <v>SHO  Remarks</v>
          </cell>
          <cell r="D2" t="str">
            <v>RAW Value</v>
          </cell>
          <cell r="E2" t="str">
            <v>Marks</v>
          </cell>
        </row>
        <row r="3">
          <cell r="B3" t="str">
            <v>Baireddypalle</v>
          </cell>
          <cell r="C3" t="str">
            <v>Submitted</v>
          </cell>
          <cell r="D3">
            <v>100</v>
          </cell>
          <cell r="E3">
            <v>5</v>
          </cell>
        </row>
        <row r="4">
          <cell r="B4" t="str">
            <v>Bangarupalem UPS</v>
          </cell>
          <cell r="C4" t="str">
            <v>Submitted</v>
          </cell>
          <cell r="D4">
            <v>100</v>
          </cell>
          <cell r="E4">
            <v>5</v>
          </cell>
        </row>
        <row r="5">
          <cell r="B5" t="str">
            <v>CCS Chittoor UPS</v>
          </cell>
          <cell r="C5" t="str">
            <v>Submitted</v>
          </cell>
          <cell r="D5">
            <v>100</v>
          </cell>
          <cell r="E5">
            <v>5</v>
          </cell>
        </row>
        <row r="6">
          <cell r="B6" t="str">
            <v>Chittoor I Town UPS</v>
          </cell>
          <cell r="C6" t="str">
            <v>Submitted</v>
          </cell>
          <cell r="D6">
            <v>100</v>
          </cell>
          <cell r="E6">
            <v>5</v>
          </cell>
        </row>
        <row r="7">
          <cell r="B7" t="str">
            <v>Chittoor II Town UPS</v>
          </cell>
          <cell r="C7" t="str">
            <v>Submitted</v>
          </cell>
          <cell r="D7">
            <v>100</v>
          </cell>
          <cell r="E7">
            <v>5</v>
          </cell>
        </row>
        <row r="8">
          <cell r="B8" t="str">
            <v>Chittoor Taluk PS</v>
          </cell>
          <cell r="C8" t="str">
            <v>Submitted</v>
          </cell>
          <cell r="D8">
            <v>100</v>
          </cell>
          <cell r="E8">
            <v>5</v>
          </cell>
        </row>
        <row r="9">
          <cell r="B9" t="str">
            <v>Chittoor Traffic UPS</v>
          </cell>
          <cell r="C9" t="str">
            <v>Submitted</v>
          </cell>
          <cell r="D9">
            <v>100</v>
          </cell>
          <cell r="E9">
            <v>5</v>
          </cell>
        </row>
        <row r="10">
          <cell r="B10" t="str">
            <v>G.D.Nellore UPS</v>
          </cell>
          <cell r="C10" t="str">
            <v>Submitted</v>
          </cell>
          <cell r="D10">
            <v>100</v>
          </cell>
          <cell r="E10">
            <v>5</v>
          </cell>
        </row>
        <row r="11">
          <cell r="B11" t="str">
            <v>Gangavaram UPS</v>
          </cell>
          <cell r="C11" t="str">
            <v>Submitted</v>
          </cell>
          <cell r="D11">
            <v>100</v>
          </cell>
          <cell r="E11">
            <v>5</v>
          </cell>
        </row>
        <row r="12">
          <cell r="B12" t="str">
            <v>Gudipala</v>
          </cell>
          <cell r="C12" t="str">
            <v>Submitted</v>
          </cell>
          <cell r="D12">
            <v>100</v>
          </cell>
          <cell r="E12">
            <v>5</v>
          </cell>
        </row>
        <row r="13">
          <cell r="B13" t="str">
            <v>Gudipalli</v>
          </cell>
          <cell r="C13" t="str">
            <v>Submitted</v>
          </cell>
          <cell r="D13">
            <v>100</v>
          </cell>
          <cell r="E13">
            <v>5</v>
          </cell>
        </row>
        <row r="14">
          <cell r="B14" t="str">
            <v>Irala</v>
          </cell>
          <cell r="C14" t="str">
            <v>Submitted</v>
          </cell>
          <cell r="D14">
            <v>100</v>
          </cell>
          <cell r="E14">
            <v>5</v>
          </cell>
        </row>
        <row r="15">
          <cell r="B15" t="str">
            <v>K. Nagar</v>
          </cell>
          <cell r="C15" t="str">
            <v>Submitted</v>
          </cell>
          <cell r="D15">
            <v>100</v>
          </cell>
          <cell r="E15">
            <v>5</v>
          </cell>
        </row>
        <row r="16">
          <cell r="B16" t="str">
            <v>Kallur</v>
          </cell>
          <cell r="C16" t="str">
            <v>Submitted</v>
          </cell>
          <cell r="D16">
            <v>100</v>
          </cell>
          <cell r="E16">
            <v>5</v>
          </cell>
        </row>
        <row r="17">
          <cell r="B17" t="str">
            <v>Kanipakam</v>
          </cell>
          <cell r="C17" t="str">
            <v>Submitted</v>
          </cell>
          <cell r="D17">
            <v>100</v>
          </cell>
          <cell r="E17">
            <v>5</v>
          </cell>
        </row>
        <row r="18">
          <cell r="B18" t="str">
            <v>Kuppam UPS</v>
          </cell>
          <cell r="C18" t="str">
            <v>Submitted</v>
          </cell>
          <cell r="D18">
            <v>100</v>
          </cell>
          <cell r="E18">
            <v>5</v>
          </cell>
        </row>
        <row r="19">
          <cell r="B19" t="str">
            <v>Mahila UPS, Chittoor</v>
          </cell>
          <cell r="C19" t="str">
            <v>Submitted</v>
          </cell>
          <cell r="D19">
            <v>100</v>
          </cell>
          <cell r="E19">
            <v>5</v>
          </cell>
        </row>
        <row r="20">
          <cell r="B20" t="str">
            <v>Nagari UPS</v>
          </cell>
          <cell r="C20" t="str">
            <v>Submitted</v>
          </cell>
          <cell r="D20">
            <v>100</v>
          </cell>
          <cell r="E20">
            <v>5</v>
          </cell>
        </row>
        <row r="21">
          <cell r="B21" t="str">
            <v>Narsingarayanipet(N.R.Pet)</v>
          </cell>
          <cell r="C21" t="str">
            <v>Submitted</v>
          </cell>
          <cell r="D21">
            <v>100</v>
          </cell>
          <cell r="E21">
            <v>5</v>
          </cell>
        </row>
        <row r="22">
          <cell r="B22" t="str">
            <v>Nindra</v>
          </cell>
          <cell r="C22" t="str">
            <v>Submitted</v>
          </cell>
          <cell r="D22">
            <v>100</v>
          </cell>
          <cell r="E22">
            <v>5</v>
          </cell>
        </row>
        <row r="23">
          <cell r="B23" t="str">
            <v>Palamaner UPS</v>
          </cell>
          <cell r="C23" t="str">
            <v>Submitted</v>
          </cell>
          <cell r="D23">
            <v>100</v>
          </cell>
          <cell r="E23">
            <v>5</v>
          </cell>
        </row>
        <row r="24">
          <cell r="B24" t="str">
            <v>Palasamudram</v>
          </cell>
          <cell r="C24" t="str">
            <v>Submitted</v>
          </cell>
          <cell r="D24">
            <v>100</v>
          </cell>
          <cell r="E24">
            <v>5</v>
          </cell>
        </row>
        <row r="25">
          <cell r="B25" t="str">
            <v>Panjani</v>
          </cell>
          <cell r="C25" t="str">
            <v>Submitted</v>
          </cell>
          <cell r="D25">
            <v>100</v>
          </cell>
          <cell r="E25">
            <v>5</v>
          </cell>
        </row>
        <row r="26">
          <cell r="B26" t="str">
            <v>Penumur</v>
          </cell>
          <cell r="C26" t="str">
            <v>Submitted</v>
          </cell>
          <cell r="D26">
            <v>100</v>
          </cell>
          <cell r="E26">
            <v>5</v>
          </cell>
        </row>
        <row r="27">
          <cell r="B27" t="str">
            <v>Puthalapattu UPS</v>
          </cell>
          <cell r="C27" t="str">
            <v>Submitted</v>
          </cell>
          <cell r="D27">
            <v>100</v>
          </cell>
          <cell r="E27">
            <v>5</v>
          </cell>
        </row>
        <row r="28">
          <cell r="B28" t="str">
            <v>Rallabudugur</v>
          </cell>
          <cell r="C28" t="str">
            <v>Submitted</v>
          </cell>
          <cell r="D28">
            <v>100</v>
          </cell>
          <cell r="E28">
            <v>5</v>
          </cell>
        </row>
        <row r="29">
          <cell r="B29" t="str">
            <v>Ramakuppam</v>
          </cell>
          <cell r="C29" t="str">
            <v>Submitted</v>
          </cell>
          <cell r="D29">
            <v>100</v>
          </cell>
          <cell r="E29">
            <v>5</v>
          </cell>
        </row>
        <row r="30">
          <cell r="B30" t="str">
            <v>Rompicherla</v>
          </cell>
          <cell r="C30" t="str">
            <v>Submitted</v>
          </cell>
          <cell r="D30">
            <v>100</v>
          </cell>
          <cell r="E30">
            <v>5</v>
          </cell>
        </row>
        <row r="31">
          <cell r="B31" t="str">
            <v>S.R.Puram</v>
          </cell>
          <cell r="C31" t="str">
            <v>Submitted</v>
          </cell>
          <cell r="D31">
            <v>100</v>
          </cell>
          <cell r="E31">
            <v>5</v>
          </cell>
        </row>
        <row r="32">
          <cell r="B32" t="str">
            <v>Thavanampalle</v>
          </cell>
          <cell r="C32" t="str">
            <v>Submitted</v>
          </cell>
          <cell r="D32">
            <v>100</v>
          </cell>
          <cell r="E32">
            <v>5</v>
          </cell>
        </row>
        <row r="33">
          <cell r="B33" t="str">
            <v>V.Kota UPS</v>
          </cell>
          <cell r="C33" t="str">
            <v>Submitted</v>
          </cell>
          <cell r="D33">
            <v>100</v>
          </cell>
          <cell r="E33">
            <v>5</v>
          </cell>
        </row>
        <row r="34">
          <cell r="B34" t="str">
            <v>Vedurukuppam</v>
          </cell>
          <cell r="C34" t="str">
            <v>Submitted</v>
          </cell>
          <cell r="D34">
            <v>100</v>
          </cell>
          <cell r="E34">
            <v>5</v>
          </cell>
        </row>
        <row r="35">
          <cell r="B35" t="str">
            <v>Vijayapuram</v>
          </cell>
          <cell r="C35" t="str">
            <v>Submitted</v>
          </cell>
          <cell r="D35">
            <v>100</v>
          </cell>
          <cell r="E35">
            <v>5</v>
          </cell>
        </row>
        <row r="36">
          <cell r="B36" t="str">
            <v>Yadamari</v>
          </cell>
          <cell r="C36" t="str">
            <v>Submitted</v>
          </cell>
          <cell r="D36">
            <v>100</v>
          </cell>
          <cell r="E36">
            <v>5</v>
          </cell>
        </row>
        <row r="37">
          <cell r="D37">
            <v>100</v>
          </cell>
        </row>
      </sheetData>
      <sheetData sheetId="8">
        <row r="2">
          <cell r="B2" t="str">
            <v>PS</v>
          </cell>
          <cell r="C2" t="str">
            <v>FIR</v>
          </cell>
          <cell r="D2" t="str">
            <v>CDF</v>
          </cell>
          <cell r="E2" t="str">
            <v>ACS</v>
          </cell>
          <cell r="F2" t="str">
            <v>PSS</v>
          </cell>
          <cell r="G2" t="str">
            <v>CD PartI</v>
          </cell>
          <cell r="H2" t="str">
            <v>CD Part II</v>
          </cell>
          <cell r="I2" t="str">
            <v xml:space="preserve"> Charge Sheet</v>
          </cell>
          <cell r="J2" t="str">
            <v>Final Report</v>
          </cell>
          <cell r="K2" t="str">
            <v>Court Disposal</v>
          </cell>
          <cell r="L2" t="str">
            <v>History Sheets</v>
          </cell>
          <cell r="M2" t="str">
            <v>41 Crpc</v>
          </cell>
          <cell r="N2" t="str">
            <v>Forms per FIR</v>
          </cell>
          <cell r="O2" t="str">
            <v>Raw Value</v>
          </cell>
          <cell r="P2" t="str">
            <v>MARKS</v>
          </cell>
        </row>
        <row r="3">
          <cell r="B3" t="str">
            <v>Mahila UPS, Chittoor</v>
          </cell>
          <cell r="C3">
            <v>760</v>
          </cell>
          <cell r="D3">
            <v>727</v>
          </cell>
          <cell r="E3">
            <v>335</v>
          </cell>
          <cell r="F3">
            <v>1</v>
          </cell>
          <cell r="G3">
            <v>3260</v>
          </cell>
          <cell r="H3">
            <v>5087</v>
          </cell>
          <cell r="I3">
            <v>746</v>
          </cell>
          <cell r="J3">
            <v>51</v>
          </cell>
          <cell r="K3">
            <v>375</v>
          </cell>
          <cell r="L3">
            <v>0</v>
          </cell>
          <cell r="M3">
            <v>1671</v>
          </cell>
          <cell r="N3">
            <v>16.122368421052631</v>
          </cell>
          <cell r="O3">
            <v>100</v>
          </cell>
          <cell r="P3">
            <v>5</v>
          </cell>
        </row>
        <row r="4">
          <cell r="B4" t="str">
            <v>Penumur</v>
          </cell>
          <cell r="C4">
            <v>2332</v>
          </cell>
          <cell r="D4">
            <v>2390</v>
          </cell>
          <cell r="E4">
            <v>2282</v>
          </cell>
          <cell r="F4">
            <v>181</v>
          </cell>
          <cell r="G4">
            <v>8428</v>
          </cell>
          <cell r="H4">
            <v>12393</v>
          </cell>
          <cell r="I4">
            <v>1876</v>
          </cell>
          <cell r="J4">
            <v>555</v>
          </cell>
          <cell r="K4">
            <v>1349</v>
          </cell>
          <cell r="L4">
            <v>89</v>
          </cell>
          <cell r="M4">
            <v>3510</v>
          </cell>
          <cell r="N4">
            <v>14.173670668953688</v>
          </cell>
          <cell r="O4">
            <v>87.913080130619477</v>
          </cell>
          <cell r="P4">
            <v>4.3956540065309744</v>
          </cell>
        </row>
        <row r="5">
          <cell r="B5" t="str">
            <v>Kanipakam</v>
          </cell>
          <cell r="C5">
            <v>1216</v>
          </cell>
          <cell r="D5">
            <v>1146</v>
          </cell>
          <cell r="E5">
            <v>1083</v>
          </cell>
          <cell r="F5">
            <v>91</v>
          </cell>
          <cell r="G5">
            <v>4479</v>
          </cell>
          <cell r="H5">
            <v>7024</v>
          </cell>
          <cell r="I5">
            <v>959</v>
          </cell>
          <cell r="J5">
            <v>320</v>
          </cell>
          <cell r="K5">
            <v>745</v>
          </cell>
          <cell r="L5">
            <v>113</v>
          </cell>
          <cell r="M5">
            <v>1114</v>
          </cell>
          <cell r="N5">
            <v>14.041118421052632</v>
          </cell>
          <cell r="O5">
            <v>87.090916510242394</v>
          </cell>
          <cell r="P5">
            <v>4.3545458255121199</v>
          </cell>
        </row>
        <row r="6">
          <cell r="B6" t="str">
            <v>S.R.Puram</v>
          </cell>
          <cell r="C6">
            <v>1992</v>
          </cell>
          <cell r="D6">
            <v>1799</v>
          </cell>
          <cell r="E6">
            <v>1783</v>
          </cell>
          <cell r="F6">
            <v>104</v>
          </cell>
          <cell r="G6">
            <v>6913</v>
          </cell>
          <cell r="H6">
            <v>11914</v>
          </cell>
          <cell r="I6">
            <v>1558</v>
          </cell>
          <cell r="J6">
            <v>467</v>
          </cell>
          <cell r="K6">
            <v>1288</v>
          </cell>
          <cell r="L6">
            <v>85</v>
          </cell>
          <cell r="M6">
            <v>1978</v>
          </cell>
          <cell r="N6">
            <v>14.000502008032129</v>
          </cell>
          <cell r="O6">
            <v>86.838990664363152</v>
          </cell>
          <cell r="P6">
            <v>4.3419495332181581</v>
          </cell>
        </row>
        <row r="7">
          <cell r="B7" t="str">
            <v>Gudipala</v>
          </cell>
          <cell r="C7">
            <v>2757</v>
          </cell>
          <cell r="D7">
            <v>2119</v>
          </cell>
          <cell r="E7">
            <v>3023</v>
          </cell>
          <cell r="F7">
            <v>135</v>
          </cell>
          <cell r="G7">
            <v>11339</v>
          </cell>
          <cell r="H7">
            <v>13182</v>
          </cell>
          <cell r="I7">
            <v>2130</v>
          </cell>
          <cell r="J7">
            <v>705</v>
          </cell>
          <cell r="K7">
            <v>1469</v>
          </cell>
          <cell r="L7">
            <v>123</v>
          </cell>
          <cell r="M7">
            <v>2243</v>
          </cell>
          <cell r="N7">
            <v>13.227421109902068</v>
          </cell>
          <cell r="O7">
            <v>82.043907969685563</v>
          </cell>
          <cell r="P7">
            <v>4.1021953984842785</v>
          </cell>
        </row>
        <row r="8">
          <cell r="B8" t="str">
            <v>Puthalapattu UPS</v>
          </cell>
          <cell r="C8">
            <v>3070</v>
          </cell>
          <cell r="D8">
            <v>2630</v>
          </cell>
          <cell r="E8">
            <v>2729</v>
          </cell>
          <cell r="F8">
            <v>297</v>
          </cell>
          <cell r="G8">
            <v>11480</v>
          </cell>
          <cell r="H8">
            <v>15408</v>
          </cell>
          <cell r="I8">
            <v>2387</v>
          </cell>
          <cell r="J8">
            <v>778</v>
          </cell>
          <cell r="K8">
            <v>1932</v>
          </cell>
          <cell r="L8">
            <v>100</v>
          </cell>
          <cell r="M8">
            <v>2376</v>
          </cell>
          <cell r="N8">
            <v>13.06742671009772</v>
          </cell>
          <cell r="O8">
            <v>81.051532683214461</v>
          </cell>
          <cell r="P8">
            <v>4.0525766341607232</v>
          </cell>
        </row>
        <row r="9">
          <cell r="B9" t="str">
            <v>Kallur</v>
          </cell>
          <cell r="C9">
            <v>1773</v>
          </cell>
          <cell r="D9">
            <v>1634</v>
          </cell>
          <cell r="E9">
            <v>2137</v>
          </cell>
          <cell r="F9">
            <v>188</v>
          </cell>
          <cell r="G9">
            <v>5279</v>
          </cell>
          <cell r="H9">
            <v>8893</v>
          </cell>
          <cell r="I9">
            <v>1436</v>
          </cell>
          <cell r="J9">
            <v>396</v>
          </cell>
          <cell r="K9">
            <v>1132</v>
          </cell>
          <cell r="L9">
            <v>43</v>
          </cell>
          <cell r="M9">
            <v>1700</v>
          </cell>
          <cell r="N9">
            <v>12.880992667794699</v>
          </cell>
          <cell r="O9">
            <v>79.895163858026379</v>
          </cell>
          <cell r="P9">
            <v>3.9947581929013189</v>
          </cell>
        </row>
        <row r="10">
          <cell r="B10" t="str">
            <v>Thavanampalle</v>
          </cell>
          <cell r="C10">
            <v>2222</v>
          </cell>
          <cell r="D10">
            <v>1748</v>
          </cell>
          <cell r="E10">
            <v>2010</v>
          </cell>
          <cell r="F10">
            <v>170</v>
          </cell>
          <cell r="G10">
            <v>8171</v>
          </cell>
          <cell r="H10">
            <v>10525</v>
          </cell>
          <cell r="I10">
            <v>1700</v>
          </cell>
          <cell r="J10">
            <v>601</v>
          </cell>
          <cell r="K10">
            <v>1204</v>
          </cell>
          <cell r="L10">
            <v>68</v>
          </cell>
          <cell r="M10">
            <v>2337</v>
          </cell>
          <cell r="N10">
            <v>12.841584158415841</v>
          </cell>
          <cell r="O10">
            <v>79.650730110144792</v>
          </cell>
          <cell r="P10">
            <v>3.9825365055072397</v>
          </cell>
        </row>
        <row r="11">
          <cell r="B11" t="str">
            <v>Rompicherla</v>
          </cell>
          <cell r="C11">
            <v>1960</v>
          </cell>
          <cell r="D11">
            <v>1547</v>
          </cell>
          <cell r="E11">
            <v>1908</v>
          </cell>
          <cell r="F11">
            <v>56</v>
          </cell>
          <cell r="G11">
            <v>6627</v>
          </cell>
          <cell r="H11">
            <v>9300</v>
          </cell>
          <cell r="I11">
            <v>1596</v>
          </cell>
          <cell r="J11">
            <v>411</v>
          </cell>
          <cell r="K11">
            <v>1338</v>
          </cell>
          <cell r="L11">
            <v>167</v>
          </cell>
          <cell r="M11">
            <v>2081</v>
          </cell>
          <cell r="N11">
            <v>12.770918367346939</v>
          </cell>
          <cell r="O11">
            <v>79.212421114695772</v>
          </cell>
          <cell r="P11">
            <v>3.960621055734789</v>
          </cell>
        </row>
        <row r="12">
          <cell r="B12" t="str">
            <v>Nagari UPS</v>
          </cell>
          <cell r="C12">
            <v>4162</v>
          </cell>
          <cell r="D12">
            <v>3552</v>
          </cell>
          <cell r="E12">
            <v>4018</v>
          </cell>
          <cell r="F12">
            <v>366</v>
          </cell>
          <cell r="G12">
            <v>14613</v>
          </cell>
          <cell r="H12">
            <v>20867</v>
          </cell>
          <cell r="I12">
            <v>3153</v>
          </cell>
          <cell r="J12">
            <v>1073</v>
          </cell>
          <cell r="K12">
            <v>2423</v>
          </cell>
          <cell r="L12">
            <v>227</v>
          </cell>
          <cell r="M12">
            <v>2841</v>
          </cell>
          <cell r="N12">
            <v>12.766218164344066</v>
          </cell>
          <cell r="O12">
            <v>79.183267811160448</v>
          </cell>
          <cell r="P12">
            <v>3.9591633905580226</v>
          </cell>
        </row>
        <row r="13">
          <cell r="B13" t="str">
            <v>K. Nagar</v>
          </cell>
          <cell r="C13">
            <v>1900</v>
          </cell>
          <cell r="D13">
            <v>1650</v>
          </cell>
          <cell r="E13">
            <v>1093</v>
          </cell>
          <cell r="F13">
            <v>64</v>
          </cell>
          <cell r="G13">
            <v>6480</v>
          </cell>
          <cell r="H13">
            <v>10184</v>
          </cell>
          <cell r="I13">
            <v>1438</v>
          </cell>
          <cell r="J13">
            <v>498</v>
          </cell>
          <cell r="K13">
            <v>1029</v>
          </cell>
          <cell r="L13">
            <v>62</v>
          </cell>
          <cell r="M13">
            <v>1734</v>
          </cell>
          <cell r="N13">
            <v>12.753684210526316</v>
          </cell>
          <cell r="O13">
            <v>79.105525177507559</v>
          </cell>
          <cell r="P13">
            <v>3.955276258875378</v>
          </cell>
        </row>
        <row r="14">
          <cell r="B14" t="str">
            <v>Chittoor I Town UPS</v>
          </cell>
          <cell r="C14">
            <v>4350</v>
          </cell>
          <cell r="D14">
            <v>3900</v>
          </cell>
          <cell r="E14">
            <v>2828</v>
          </cell>
          <cell r="F14">
            <v>389</v>
          </cell>
          <cell r="G14">
            <v>16297</v>
          </cell>
          <cell r="H14">
            <v>21554</v>
          </cell>
          <cell r="I14">
            <v>2976</v>
          </cell>
          <cell r="J14">
            <v>1390</v>
          </cell>
          <cell r="K14">
            <v>2258</v>
          </cell>
          <cell r="L14">
            <v>137</v>
          </cell>
          <cell r="M14">
            <v>3341</v>
          </cell>
          <cell r="N14">
            <v>12.659770114942528</v>
          </cell>
          <cell r="O14">
            <v>78.523017117084166</v>
          </cell>
          <cell r="P14">
            <v>3.9261508558542086</v>
          </cell>
        </row>
        <row r="15">
          <cell r="B15" t="str">
            <v>Baireddypalle</v>
          </cell>
          <cell r="C15">
            <v>2428</v>
          </cell>
          <cell r="D15">
            <v>2082</v>
          </cell>
          <cell r="E15">
            <v>2495</v>
          </cell>
          <cell r="F15">
            <v>202</v>
          </cell>
          <cell r="G15">
            <v>7508</v>
          </cell>
          <cell r="H15">
            <v>11754</v>
          </cell>
          <cell r="I15">
            <v>1817</v>
          </cell>
          <cell r="J15">
            <v>629</v>
          </cell>
          <cell r="K15">
            <v>1184</v>
          </cell>
          <cell r="L15">
            <v>76</v>
          </cell>
          <cell r="M15">
            <v>2626</v>
          </cell>
          <cell r="N15">
            <v>12.509472817133442</v>
          </cell>
          <cell r="O15">
            <v>77.590788713143041</v>
          </cell>
          <cell r="P15">
            <v>3.8795394356571524</v>
          </cell>
        </row>
        <row r="16">
          <cell r="B16" t="str">
            <v>Chittoor Taluk PS</v>
          </cell>
          <cell r="C16">
            <v>2481</v>
          </cell>
          <cell r="D16">
            <v>2085</v>
          </cell>
          <cell r="E16">
            <v>2231</v>
          </cell>
          <cell r="F16">
            <v>169</v>
          </cell>
          <cell r="G16">
            <v>8239</v>
          </cell>
          <cell r="H16">
            <v>12267</v>
          </cell>
          <cell r="I16">
            <v>1957</v>
          </cell>
          <cell r="J16">
            <v>581</v>
          </cell>
          <cell r="K16">
            <v>1622</v>
          </cell>
          <cell r="L16">
            <v>95</v>
          </cell>
          <cell r="M16">
            <v>1780</v>
          </cell>
          <cell r="N16">
            <v>12.505441354292625</v>
          </cell>
          <cell r="O16">
            <v>77.565783312351215</v>
          </cell>
          <cell r="P16">
            <v>3.8782891656175611</v>
          </cell>
        </row>
        <row r="17">
          <cell r="B17" t="str">
            <v>Yadamari</v>
          </cell>
          <cell r="C17">
            <v>2850</v>
          </cell>
          <cell r="D17">
            <v>2639</v>
          </cell>
          <cell r="E17">
            <v>2568</v>
          </cell>
          <cell r="F17">
            <v>110</v>
          </cell>
          <cell r="G17">
            <v>9319</v>
          </cell>
          <cell r="H17">
            <v>12685</v>
          </cell>
          <cell r="I17">
            <v>2225</v>
          </cell>
          <cell r="J17">
            <v>708</v>
          </cell>
          <cell r="K17">
            <v>1612</v>
          </cell>
          <cell r="L17">
            <v>176</v>
          </cell>
          <cell r="M17">
            <v>3090</v>
          </cell>
          <cell r="N17">
            <v>12.327017543859649</v>
          </cell>
          <cell r="O17">
            <v>76.459098452079772</v>
          </cell>
          <cell r="P17">
            <v>3.8229549226039889</v>
          </cell>
        </row>
        <row r="18">
          <cell r="B18" t="str">
            <v>Chittoor Traffic UPS</v>
          </cell>
          <cell r="C18">
            <v>1576</v>
          </cell>
          <cell r="D18">
            <v>1185</v>
          </cell>
          <cell r="E18">
            <v>874</v>
          </cell>
          <cell r="F18">
            <v>1</v>
          </cell>
          <cell r="G18">
            <v>3897</v>
          </cell>
          <cell r="H18">
            <v>9463</v>
          </cell>
          <cell r="I18">
            <v>1569</v>
          </cell>
          <cell r="J18">
            <v>171</v>
          </cell>
          <cell r="K18">
            <v>1281</v>
          </cell>
          <cell r="L18">
            <v>0</v>
          </cell>
          <cell r="M18">
            <v>939</v>
          </cell>
          <cell r="N18">
            <v>12.296954314720812</v>
          </cell>
          <cell r="O18">
            <v>76.272629390253968</v>
          </cell>
          <cell r="P18">
            <v>3.8136314695126985</v>
          </cell>
        </row>
        <row r="19">
          <cell r="B19" t="str">
            <v>Rallabudugur</v>
          </cell>
          <cell r="C19">
            <v>2636</v>
          </cell>
          <cell r="D19">
            <v>2540</v>
          </cell>
          <cell r="E19">
            <v>989</v>
          </cell>
          <cell r="F19">
            <v>110</v>
          </cell>
          <cell r="G19">
            <v>8961</v>
          </cell>
          <cell r="H19">
            <v>12859</v>
          </cell>
          <cell r="I19">
            <v>2061</v>
          </cell>
          <cell r="J19">
            <v>635</v>
          </cell>
          <cell r="K19">
            <v>1216</v>
          </cell>
          <cell r="L19">
            <v>72</v>
          </cell>
          <cell r="M19">
            <v>2738</v>
          </cell>
          <cell r="N19">
            <v>12.208270106221548</v>
          </cell>
          <cell r="O19">
            <v>75.722560032060528</v>
          </cell>
          <cell r="P19">
            <v>3.7861280016030268</v>
          </cell>
        </row>
        <row r="20">
          <cell r="B20" t="str">
            <v>Narsingarayanipet(N.R.Pet)</v>
          </cell>
          <cell r="C20">
            <v>1260</v>
          </cell>
          <cell r="D20">
            <v>1207</v>
          </cell>
          <cell r="E20">
            <v>887</v>
          </cell>
          <cell r="F20">
            <v>86</v>
          </cell>
          <cell r="G20">
            <v>3466</v>
          </cell>
          <cell r="H20">
            <v>6488</v>
          </cell>
          <cell r="I20">
            <v>967</v>
          </cell>
          <cell r="J20">
            <v>322</v>
          </cell>
          <cell r="K20">
            <v>705</v>
          </cell>
          <cell r="L20">
            <v>38</v>
          </cell>
          <cell r="M20">
            <v>1215</v>
          </cell>
          <cell r="N20">
            <v>12.207142857142857</v>
          </cell>
          <cell r="O20">
            <v>75.715568199041641</v>
          </cell>
          <cell r="P20">
            <v>3.7857784099520821</v>
          </cell>
        </row>
        <row r="21">
          <cell r="B21" t="str">
            <v>Bangarupalem UPS</v>
          </cell>
          <cell r="C21">
            <v>4190</v>
          </cell>
          <cell r="D21">
            <v>3595</v>
          </cell>
          <cell r="E21">
            <v>3567</v>
          </cell>
          <cell r="F21">
            <v>195</v>
          </cell>
          <cell r="G21">
            <v>12833</v>
          </cell>
          <cell r="H21">
            <v>20353</v>
          </cell>
          <cell r="I21">
            <v>3143</v>
          </cell>
          <cell r="J21">
            <v>1158</v>
          </cell>
          <cell r="K21">
            <v>2408</v>
          </cell>
          <cell r="L21">
            <v>120</v>
          </cell>
          <cell r="M21">
            <v>3546</v>
          </cell>
          <cell r="N21">
            <v>12.152267303102626</v>
          </cell>
          <cell r="O21">
            <v>75.375199137827437</v>
          </cell>
          <cell r="P21">
            <v>3.7687599568913721</v>
          </cell>
        </row>
        <row r="22">
          <cell r="B22" t="str">
            <v>Chittoor II Town UPS</v>
          </cell>
          <cell r="C22">
            <v>4048</v>
          </cell>
          <cell r="D22">
            <v>3909</v>
          </cell>
          <cell r="E22">
            <v>2718</v>
          </cell>
          <cell r="F22">
            <v>275</v>
          </cell>
          <cell r="G22">
            <v>12972</v>
          </cell>
          <cell r="H22">
            <v>18906</v>
          </cell>
          <cell r="I22">
            <v>2730</v>
          </cell>
          <cell r="J22">
            <v>1362</v>
          </cell>
          <cell r="K22">
            <v>2187</v>
          </cell>
          <cell r="L22">
            <v>218</v>
          </cell>
          <cell r="M22">
            <v>3762</v>
          </cell>
          <cell r="N22">
            <v>12.114377470355731</v>
          </cell>
          <cell r="O22">
            <v>75.140185076882034</v>
          </cell>
          <cell r="P22">
            <v>3.7570092538441018</v>
          </cell>
        </row>
        <row r="23">
          <cell r="B23" t="str">
            <v>Nindra</v>
          </cell>
          <cell r="C23">
            <v>1149</v>
          </cell>
          <cell r="D23">
            <v>1113</v>
          </cell>
          <cell r="E23">
            <v>1008</v>
          </cell>
          <cell r="F23">
            <v>69</v>
          </cell>
          <cell r="G23">
            <v>3647</v>
          </cell>
          <cell r="H23">
            <v>5346</v>
          </cell>
          <cell r="I23">
            <v>834</v>
          </cell>
          <cell r="J23">
            <v>323</v>
          </cell>
          <cell r="K23">
            <v>672</v>
          </cell>
          <cell r="L23">
            <v>34</v>
          </cell>
          <cell r="M23">
            <v>848</v>
          </cell>
          <cell r="N23">
            <v>12.092254134029591</v>
          </cell>
          <cell r="O23">
            <v>75.002963697563786</v>
          </cell>
          <cell r="P23">
            <v>3.7501481848781895</v>
          </cell>
        </row>
        <row r="24">
          <cell r="B24" t="str">
            <v>G.D.Nellore UPS</v>
          </cell>
          <cell r="C24">
            <v>3289</v>
          </cell>
          <cell r="D24">
            <v>3037</v>
          </cell>
          <cell r="E24">
            <v>2926</v>
          </cell>
          <cell r="F24">
            <v>235</v>
          </cell>
          <cell r="G24">
            <v>9021</v>
          </cell>
          <cell r="H24">
            <v>15978</v>
          </cell>
          <cell r="I24">
            <v>2508</v>
          </cell>
          <cell r="J24">
            <v>834</v>
          </cell>
          <cell r="K24">
            <v>1769</v>
          </cell>
          <cell r="L24">
            <v>73</v>
          </cell>
          <cell r="M24">
            <v>3235</v>
          </cell>
          <cell r="N24">
            <v>12.044998479781089</v>
          </cell>
          <cell r="O24">
            <v>74.709857542100949</v>
          </cell>
          <cell r="P24">
            <v>3.7354928771050475</v>
          </cell>
        </row>
        <row r="25">
          <cell r="B25" t="str">
            <v>Gudipalli</v>
          </cell>
          <cell r="C25">
            <v>1800</v>
          </cell>
          <cell r="D25">
            <v>1421</v>
          </cell>
          <cell r="E25">
            <v>933</v>
          </cell>
          <cell r="F25">
            <v>114</v>
          </cell>
          <cell r="G25">
            <v>6070</v>
          </cell>
          <cell r="H25">
            <v>8734</v>
          </cell>
          <cell r="I25">
            <v>1384</v>
          </cell>
          <cell r="J25">
            <v>474</v>
          </cell>
          <cell r="K25">
            <v>788</v>
          </cell>
          <cell r="L25">
            <v>97</v>
          </cell>
          <cell r="M25">
            <v>1612</v>
          </cell>
          <cell r="N25">
            <v>12.015000000000001</v>
          </cell>
          <cell r="O25">
            <v>74.523790092222313</v>
          </cell>
          <cell r="P25">
            <v>3.7261895046111158</v>
          </cell>
        </row>
        <row r="26">
          <cell r="B26" t="str">
            <v>V.Kota UPS</v>
          </cell>
          <cell r="C26">
            <v>3676</v>
          </cell>
          <cell r="D26">
            <v>3308</v>
          </cell>
          <cell r="E26">
            <v>2976</v>
          </cell>
          <cell r="F26">
            <v>212</v>
          </cell>
          <cell r="G26">
            <v>10628</v>
          </cell>
          <cell r="H26">
            <v>17824</v>
          </cell>
          <cell r="I26">
            <v>2624</v>
          </cell>
          <cell r="J26">
            <v>1079</v>
          </cell>
          <cell r="K26">
            <v>1553</v>
          </cell>
          <cell r="L26">
            <v>104</v>
          </cell>
          <cell r="M26">
            <v>3299</v>
          </cell>
          <cell r="N26">
            <v>11.862622415669206</v>
          </cell>
          <cell r="O26">
            <v>73.578658580825902</v>
          </cell>
          <cell r="P26">
            <v>3.6789329290412951</v>
          </cell>
        </row>
        <row r="27">
          <cell r="B27" t="str">
            <v>Ramakuppam</v>
          </cell>
          <cell r="C27">
            <v>2585</v>
          </cell>
          <cell r="D27">
            <v>1695</v>
          </cell>
          <cell r="E27">
            <v>2172</v>
          </cell>
          <cell r="F27">
            <v>149</v>
          </cell>
          <cell r="G27">
            <v>7874</v>
          </cell>
          <cell r="H27">
            <v>11846</v>
          </cell>
          <cell r="I27">
            <v>1854</v>
          </cell>
          <cell r="J27">
            <v>848</v>
          </cell>
          <cell r="K27">
            <v>1170</v>
          </cell>
          <cell r="L27">
            <v>150</v>
          </cell>
          <cell r="M27">
            <v>2898</v>
          </cell>
          <cell r="N27">
            <v>11.859187620889749</v>
          </cell>
          <cell r="O27">
            <v>73.557354051058596</v>
          </cell>
          <cell r="P27">
            <v>3.6778677025529301</v>
          </cell>
        </row>
        <row r="28">
          <cell r="B28" t="str">
            <v>Panjani</v>
          </cell>
          <cell r="C28">
            <v>2649</v>
          </cell>
          <cell r="D28">
            <v>2157</v>
          </cell>
          <cell r="E28">
            <v>2845</v>
          </cell>
          <cell r="F28">
            <v>185</v>
          </cell>
          <cell r="G28">
            <v>6420</v>
          </cell>
          <cell r="H28">
            <v>12552</v>
          </cell>
          <cell r="I28">
            <v>2004</v>
          </cell>
          <cell r="J28">
            <v>709</v>
          </cell>
          <cell r="K28">
            <v>1517</v>
          </cell>
          <cell r="L28">
            <v>103</v>
          </cell>
          <cell r="M28">
            <v>2664</v>
          </cell>
          <cell r="N28">
            <v>11.761419403548508</v>
          </cell>
          <cell r="O28">
            <v>72.950940559021191</v>
          </cell>
          <cell r="P28">
            <v>3.6475470279510596</v>
          </cell>
        </row>
        <row r="29">
          <cell r="B29" t="str">
            <v>Palamaner UPS</v>
          </cell>
          <cell r="C29">
            <v>5332</v>
          </cell>
          <cell r="D29">
            <v>3881</v>
          </cell>
          <cell r="E29">
            <v>4921</v>
          </cell>
          <cell r="F29">
            <v>612</v>
          </cell>
          <cell r="G29">
            <v>14642</v>
          </cell>
          <cell r="H29">
            <v>25208</v>
          </cell>
          <cell r="I29">
            <v>4047</v>
          </cell>
          <cell r="J29">
            <v>1459</v>
          </cell>
          <cell r="K29">
            <v>3221</v>
          </cell>
          <cell r="L29">
            <v>249</v>
          </cell>
          <cell r="M29">
            <v>3856</v>
          </cell>
          <cell r="N29">
            <v>11.645911477869467</v>
          </cell>
          <cell r="O29">
            <v>72.234495414843664</v>
          </cell>
          <cell r="P29">
            <v>3.6117247707421836</v>
          </cell>
        </row>
        <row r="30">
          <cell r="B30" t="str">
            <v>Vedurukuppam</v>
          </cell>
          <cell r="C30">
            <v>2160</v>
          </cell>
          <cell r="D30">
            <v>1487</v>
          </cell>
          <cell r="E30">
            <v>1469</v>
          </cell>
          <cell r="F30">
            <v>133</v>
          </cell>
          <cell r="G30">
            <v>5991</v>
          </cell>
          <cell r="H30">
            <v>9686</v>
          </cell>
          <cell r="I30">
            <v>1610</v>
          </cell>
          <cell r="J30">
            <v>529</v>
          </cell>
          <cell r="K30">
            <v>1242</v>
          </cell>
          <cell r="L30">
            <v>31</v>
          </cell>
          <cell r="M30">
            <v>2763</v>
          </cell>
          <cell r="N30">
            <v>11.546759259259259</v>
          </cell>
          <cell r="O30">
            <v>71.61949756824481</v>
          </cell>
          <cell r="P30">
            <v>3.5809748784122406</v>
          </cell>
        </row>
        <row r="31">
          <cell r="B31" t="str">
            <v>Gangavaram UPS</v>
          </cell>
          <cell r="C31">
            <v>3839</v>
          </cell>
          <cell r="D31">
            <v>3379</v>
          </cell>
          <cell r="E31">
            <v>2843</v>
          </cell>
          <cell r="F31">
            <v>268</v>
          </cell>
          <cell r="G31">
            <v>11375</v>
          </cell>
          <cell r="H31">
            <v>16743</v>
          </cell>
          <cell r="I31">
            <v>2621</v>
          </cell>
          <cell r="J31">
            <v>1124</v>
          </cell>
          <cell r="K31">
            <v>1744</v>
          </cell>
          <cell r="L31">
            <v>172</v>
          </cell>
          <cell r="M31">
            <v>2687</v>
          </cell>
          <cell r="N31">
            <v>11.189372232352175</v>
          </cell>
          <cell r="O31">
            <v>69.40278214794462</v>
          </cell>
          <cell r="P31">
            <v>3.4701391073972312</v>
          </cell>
        </row>
        <row r="32">
          <cell r="B32" t="str">
            <v>Vijayapuram</v>
          </cell>
          <cell r="C32">
            <v>1319</v>
          </cell>
          <cell r="D32">
            <v>936</v>
          </cell>
          <cell r="E32">
            <v>1399</v>
          </cell>
          <cell r="F32">
            <v>79</v>
          </cell>
          <cell r="G32">
            <v>3873</v>
          </cell>
          <cell r="H32">
            <v>5513</v>
          </cell>
          <cell r="I32">
            <v>917</v>
          </cell>
          <cell r="J32">
            <v>364</v>
          </cell>
          <cell r="K32">
            <v>743</v>
          </cell>
          <cell r="L32">
            <v>24</v>
          </cell>
          <cell r="M32">
            <v>825</v>
          </cell>
          <cell r="N32">
            <v>11.124336618650492</v>
          </cell>
          <cell r="O32">
            <v>68.999394680277277</v>
          </cell>
          <cell r="P32">
            <v>3.4499697340138642</v>
          </cell>
        </row>
        <row r="33">
          <cell r="B33" t="str">
            <v>Irala</v>
          </cell>
          <cell r="C33">
            <v>1638</v>
          </cell>
          <cell r="D33">
            <v>1275</v>
          </cell>
          <cell r="E33">
            <v>1441</v>
          </cell>
          <cell r="F33">
            <v>66</v>
          </cell>
          <cell r="G33">
            <v>3897</v>
          </cell>
          <cell r="H33">
            <v>6845</v>
          </cell>
          <cell r="I33">
            <v>1264</v>
          </cell>
          <cell r="J33">
            <v>428</v>
          </cell>
          <cell r="K33">
            <v>953</v>
          </cell>
          <cell r="L33">
            <v>52</v>
          </cell>
          <cell r="M33">
            <v>1850</v>
          </cell>
          <cell r="N33">
            <v>11.032356532356532</v>
          </cell>
          <cell r="O33">
            <v>68.428882433615968</v>
          </cell>
          <cell r="P33">
            <v>3.4214441216807985</v>
          </cell>
        </row>
        <row r="34">
          <cell r="B34" t="str">
            <v>Kuppam UPS</v>
          </cell>
          <cell r="C34">
            <v>4758</v>
          </cell>
          <cell r="D34">
            <v>4873</v>
          </cell>
          <cell r="E34">
            <v>2523</v>
          </cell>
          <cell r="F34">
            <v>290</v>
          </cell>
          <cell r="G34">
            <v>13492</v>
          </cell>
          <cell r="H34">
            <v>19753</v>
          </cell>
          <cell r="I34">
            <v>3311</v>
          </cell>
          <cell r="J34">
            <v>1437</v>
          </cell>
          <cell r="K34">
            <v>2011</v>
          </cell>
          <cell r="L34">
            <v>176</v>
          </cell>
          <cell r="M34">
            <v>4356</v>
          </cell>
          <cell r="N34">
            <v>10.975620008406894</v>
          </cell>
          <cell r="O34">
            <v>68.076970589971765</v>
          </cell>
          <cell r="P34">
            <v>3.4038485294985885</v>
          </cell>
        </row>
        <row r="35">
          <cell r="B35" t="str">
            <v>Palasamudram</v>
          </cell>
          <cell r="C35">
            <v>1365</v>
          </cell>
          <cell r="D35">
            <v>505</v>
          </cell>
          <cell r="E35">
            <v>1103</v>
          </cell>
          <cell r="F35">
            <v>101</v>
          </cell>
          <cell r="G35">
            <v>4071</v>
          </cell>
          <cell r="H35">
            <v>5920</v>
          </cell>
          <cell r="I35">
            <v>1119</v>
          </cell>
          <cell r="J35">
            <v>271</v>
          </cell>
          <cell r="K35">
            <v>787</v>
          </cell>
          <cell r="L35">
            <v>33</v>
          </cell>
          <cell r="M35">
            <v>1019</v>
          </cell>
          <cell r="N35">
            <v>10.936996336996337</v>
          </cell>
          <cell r="O35">
            <v>67.837404848749017</v>
          </cell>
          <cell r="P35">
            <v>3.3918702424374509</v>
          </cell>
        </row>
        <row r="36">
          <cell r="B36" t="str">
            <v>CCS Chittoor UPS</v>
          </cell>
          <cell r="C36">
            <v>1993</v>
          </cell>
          <cell r="D36">
            <v>576</v>
          </cell>
          <cell r="E36">
            <v>2485</v>
          </cell>
          <cell r="F36">
            <v>1112</v>
          </cell>
          <cell r="G36">
            <v>7647</v>
          </cell>
          <cell r="H36">
            <v>3937</v>
          </cell>
          <cell r="I36">
            <v>1287</v>
          </cell>
          <cell r="J36">
            <v>718</v>
          </cell>
          <cell r="K36">
            <v>1752</v>
          </cell>
          <cell r="L36">
            <v>220</v>
          </cell>
          <cell r="M36">
            <v>112</v>
          </cell>
          <cell r="N36">
            <v>9.9578524836929247</v>
          </cell>
          <cell r="O36">
            <v>61.764203767294731</v>
          </cell>
          <cell r="P36">
            <v>3.0882101883647368</v>
          </cell>
        </row>
        <row r="37">
          <cell r="C37">
            <v>87515</v>
          </cell>
          <cell r="D37">
            <v>73727</v>
          </cell>
          <cell r="E37">
            <v>72602</v>
          </cell>
          <cell r="F37">
            <v>6815</v>
          </cell>
          <cell r="G37">
            <v>279209</v>
          </cell>
          <cell r="H37">
            <v>416991</v>
          </cell>
          <cell r="I37">
            <v>65808</v>
          </cell>
          <cell r="J37">
            <v>23408</v>
          </cell>
          <cell r="K37">
            <v>48679</v>
          </cell>
          <cell r="L37">
            <v>3527</v>
          </cell>
          <cell r="M37">
            <v>78646</v>
          </cell>
          <cell r="N37">
            <v>12.22</v>
          </cell>
          <cell r="O37">
            <v>75.795315432955206</v>
          </cell>
        </row>
      </sheetData>
      <sheetData sheetId="9">
        <row r="2">
          <cell r="B2" t="str">
            <v>PS</v>
          </cell>
          <cell r="C2" t="str">
            <v>FIR</v>
          </cell>
          <cell r="D2" t="str">
            <v>CDF</v>
          </cell>
          <cell r="E2" t="str">
            <v>ACS</v>
          </cell>
          <cell r="F2" t="str">
            <v>PSS</v>
          </cell>
          <cell r="G2" t="str">
            <v>CD PartI</v>
          </cell>
          <cell r="H2" t="str">
            <v>CD Part II</v>
          </cell>
          <cell r="I2" t="str">
            <v xml:space="preserve"> Charge Sheet</v>
          </cell>
          <cell r="J2" t="str">
            <v>Final Report</v>
          </cell>
          <cell r="K2" t="str">
            <v>Court Disposal</v>
          </cell>
          <cell r="L2" t="str">
            <v>History Sheets</v>
          </cell>
          <cell r="M2" t="str">
            <v>41 Crpc</v>
          </cell>
          <cell r="N2" t="str">
            <v>Forms per FIR</v>
          </cell>
          <cell r="O2" t="str">
            <v>Raw Value</v>
          </cell>
          <cell r="P2" t="str">
            <v>MARKS</v>
          </cell>
        </row>
        <row r="3">
          <cell r="B3" t="str">
            <v>K. Nagar</v>
          </cell>
          <cell r="C3">
            <v>1</v>
          </cell>
          <cell r="D3">
            <v>1</v>
          </cell>
          <cell r="E3">
            <v>0</v>
          </cell>
          <cell r="F3">
            <v>0</v>
          </cell>
          <cell r="G3">
            <v>1</v>
          </cell>
          <cell r="H3">
            <v>8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1</v>
          </cell>
          <cell r="N3">
            <v>11</v>
          </cell>
          <cell r="O3">
            <v>100</v>
          </cell>
          <cell r="P3">
            <v>2.5</v>
          </cell>
        </row>
        <row r="4">
          <cell r="B4" t="str">
            <v>Baireddypalle</v>
          </cell>
          <cell r="C4">
            <v>1</v>
          </cell>
          <cell r="D4">
            <v>1</v>
          </cell>
          <cell r="E4">
            <v>0</v>
          </cell>
          <cell r="F4">
            <v>0</v>
          </cell>
          <cell r="G4">
            <v>3</v>
          </cell>
          <cell r="H4">
            <v>7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11</v>
          </cell>
          <cell r="O4">
            <v>100</v>
          </cell>
          <cell r="P4">
            <v>2.5</v>
          </cell>
        </row>
        <row r="5">
          <cell r="B5" t="str">
            <v>Nindra</v>
          </cell>
          <cell r="C5">
            <v>1</v>
          </cell>
          <cell r="D5">
            <v>1</v>
          </cell>
          <cell r="E5">
            <v>0</v>
          </cell>
          <cell r="F5">
            <v>0</v>
          </cell>
          <cell r="G5">
            <v>1</v>
          </cell>
          <cell r="H5">
            <v>4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3</v>
          </cell>
          <cell r="N5">
            <v>9</v>
          </cell>
          <cell r="O5">
            <v>81.818181818181827</v>
          </cell>
          <cell r="P5">
            <v>2.0454545454545459</v>
          </cell>
        </row>
        <row r="6">
          <cell r="B6" t="str">
            <v>Bangarupalem UPS</v>
          </cell>
          <cell r="C6">
            <v>5</v>
          </cell>
          <cell r="D6">
            <v>5</v>
          </cell>
          <cell r="E6">
            <v>2</v>
          </cell>
          <cell r="F6">
            <v>0</v>
          </cell>
          <cell r="G6">
            <v>8</v>
          </cell>
          <cell r="H6">
            <v>16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1</v>
          </cell>
          <cell r="N6">
            <v>6.4</v>
          </cell>
          <cell r="O6">
            <v>58.181818181818187</v>
          </cell>
          <cell r="P6">
            <v>1.4545454545454548</v>
          </cell>
        </row>
        <row r="7">
          <cell r="B7" t="str">
            <v>Gudipalli</v>
          </cell>
          <cell r="C7">
            <v>4</v>
          </cell>
          <cell r="D7">
            <v>4</v>
          </cell>
          <cell r="E7">
            <v>3</v>
          </cell>
          <cell r="F7">
            <v>0</v>
          </cell>
          <cell r="G7">
            <v>3</v>
          </cell>
          <cell r="H7">
            <v>14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6</v>
          </cell>
          <cell r="O7">
            <v>54.54545454545454</v>
          </cell>
          <cell r="P7">
            <v>1.3636363636363635</v>
          </cell>
        </row>
        <row r="8">
          <cell r="B8" t="str">
            <v>Vedurukuppam</v>
          </cell>
          <cell r="C8">
            <v>2</v>
          </cell>
          <cell r="D8">
            <v>2</v>
          </cell>
          <cell r="E8">
            <v>0</v>
          </cell>
          <cell r="F8">
            <v>0</v>
          </cell>
          <cell r="G8">
            <v>2</v>
          </cell>
          <cell r="H8">
            <v>8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6</v>
          </cell>
          <cell r="O8">
            <v>54.54545454545454</v>
          </cell>
          <cell r="P8">
            <v>1.3636363636363635</v>
          </cell>
        </row>
        <row r="9">
          <cell r="B9" t="str">
            <v>Puthalapattu UPS</v>
          </cell>
          <cell r="C9">
            <v>2</v>
          </cell>
          <cell r="D9">
            <v>2</v>
          </cell>
          <cell r="E9">
            <v>0</v>
          </cell>
          <cell r="F9">
            <v>0</v>
          </cell>
          <cell r="G9">
            <v>2</v>
          </cell>
          <cell r="H9">
            <v>7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5.5</v>
          </cell>
          <cell r="O9">
            <v>50</v>
          </cell>
          <cell r="P9">
            <v>1.25</v>
          </cell>
        </row>
        <row r="10">
          <cell r="B10" t="str">
            <v>Thavanampalle</v>
          </cell>
          <cell r="C10">
            <v>2</v>
          </cell>
          <cell r="D10">
            <v>2</v>
          </cell>
          <cell r="E10">
            <v>1</v>
          </cell>
          <cell r="F10">
            <v>0</v>
          </cell>
          <cell r="G10">
            <v>1</v>
          </cell>
          <cell r="H10">
            <v>2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5</v>
          </cell>
          <cell r="N10">
            <v>5.5</v>
          </cell>
          <cell r="O10">
            <v>50</v>
          </cell>
          <cell r="P10">
            <v>1.25</v>
          </cell>
        </row>
        <row r="11">
          <cell r="B11" t="str">
            <v>Ramakuppam</v>
          </cell>
          <cell r="C11">
            <v>1</v>
          </cell>
          <cell r="D11">
            <v>1</v>
          </cell>
          <cell r="E11">
            <v>0</v>
          </cell>
          <cell r="F11">
            <v>0</v>
          </cell>
          <cell r="G11">
            <v>1</v>
          </cell>
          <cell r="H11">
            <v>3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5</v>
          </cell>
          <cell r="O11">
            <v>45.454545454545453</v>
          </cell>
          <cell r="P11">
            <v>1.1363636363636365</v>
          </cell>
        </row>
        <row r="12">
          <cell r="B12" t="str">
            <v>Nagari UPS</v>
          </cell>
          <cell r="C12">
            <v>4</v>
          </cell>
          <cell r="D12">
            <v>4</v>
          </cell>
          <cell r="E12">
            <v>2</v>
          </cell>
          <cell r="F12">
            <v>0</v>
          </cell>
          <cell r="G12">
            <v>4</v>
          </cell>
          <cell r="H12">
            <v>6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4</v>
          </cell>
          <cell r="O12">
            <v>36.363636363636367</v>
          </cell>
          <cell r="P12">
            <v>0.90909090909090917</v>
          </cell>
        </row>
        <row r="13">
          <cell r="B13" t="str">
            <v>Panjani</v>
          </cell>
          <cell r="C13">
            <v>1</v>
          </cell>
          <cell r="D13">
            <v>1</v>
          </cell>
          <cell r="E13">
            <v>0</v>
          </cell>
          <cell r="F13">
            <v>0</v>
          </cell>
          <cell r="G13">
            <v>1</v>
          </cell>
          <cell r="H13">
            <v>2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4</v>
          </cell>
          <cell r="O13">
            <v>36.363636363636367</v>
          </cell>
          <cell r="P13">
            <v>0.90909090909090917</v>
          </cell>
        </row>
        <row r="14">
          <cell r="B14" t="str">
            <v>V.Kota UPS</v>
          </cell>
          <cell r="C14">
            <v>7</v>
          </cell>
          <cell r="D14">
            <v>7</v>
          </cell>
          <cell r="E14">
            <v>1</v>
          </cell>
          <cell r="F14">
            <v>0</v>
          </cell>
          <cell r="G14">
            <v>4</v>
          </cell>
          <cell r="H14">
            <v>13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3.5714285714285716</v>
          </cell>
          <cell r="O14">
            <v>32.467532467532465</v>
          </cell>
          <cell r="P14">
            <v>0.81168831168831168</v>
          </cell>
        </row>
        <row r="15">
          <cell r="B15" t="str">
            <v>Gangavaram UPS</v>
          </cell>
          <cell r="C15">
            <v>3</v>
          </cell>
          <cell r="D15">
            <v>3</v>
          </cell>
          <cell r="E15">
            <v>2</v>
          </cell>
          <cell r="F15">
            <v>0</v>
          </cell>
          <cell r="G15">
            <v>2</v>
          </cell>
          <cell r="H15">
            <v>3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3.3333333333333335</v>
          </cell>
          <cell r="O15">
            <v>30.303030303030305</v>
          </cell>
          <cell r="P15">
            <v>0.75757575757575768</v>
          </cell>
        </row>
        <row r="16">
          <cell r="B16" t="str">
            <v>Chittoor II Town UPS</v>
          </cell>
          <cell r="C16">
            <v>5</v>
          </cell>
          <cell r="D16">
            <v>5</v>
          </cell>
          <cell r="E16">
            <v>0</v>
          </cell>
          <cell r="F16">
            <v>0</v>
          </cell>
          <cell r="G16">
            <v>5</v>
          </cell>
          <cell r="H16">
            <v>5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3</v>
          </cell>
          <cell r="O16">
            <v>27.27272727272727</v>
          </cell>
          <cell r="P16">
            <v>0.68181818181818177</v>
          </cell>
        </row>
        <row r="17">
          <cell r="B17" t="str">
            <v>S.R.Puram</v>
          </cell>
          <cell r="C17">
            <v>3</v>
          </cell>
          <cell r="D17">
            <v>3</v>
          </cell>
          <cell r="E17">
            <v>0</v>
          </cell>
          <cell r="F17">
            <v>0</v>
          </cell>
          <cell r="G17">
            <v>3</v>
          </cell>
          <cell r="H17">
            <v>3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3</v>
          </cell>
          <cell r="O17">
            <v>27.27272727272727</v>
          </cell>
          <cell r="P17">
            <v>0.68181818181818177</v>
          </cell>
        </row>
        <row r="18">
          <cell r="B18" t="str">
            <v>Kanipakam</v>
          </cell>
          <cell r="C18">
            <v>2</v>
          </cell>
          <cell r="D18">
            <v>2</v>
          </cell>
          <cell r="E18">
            <v>0</v>
          </cell>
          <cell r="F18">
            <v>0</v>
          </cell>
          <cell r="G18">
            <v>2</v>
          </cell>
          <cell r="H18">
            <v>2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3</v>
          </cell>
          <cell r="O18">
            <v>27.27272727272727</v>
          </cell>
          <cell r="P18">
            <v>0.68181818181818177</v>
          </cell>
        </row>
        <row r="19">
          <cell r="B19" t="str">
            <v>Gudipala</v>
          </cell>
          <cell r="C19">
            <v>1</v>
          </cell>
          <cell r="D19">
            <v>2</v>
          </cell>
          <cell r="E19">
            <v>0</v>
          </cell>
          <cell r="F19">
            <v>0</v>
          </cell>
          <cell r="G19">
            <v>0</v>
          </cell>
          <cell r="H19">
            <v>1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3</v>
          </cell>
          <cell r="O19">
            <v>27.27272727272727</v>
          </cell>
          <cell r="P19">
            <v>0.68181818181818177</v>
          </cell>
        </row>
        <row r="20">
          <cell r="B20" t="str">
            <v>Kuppam UPS</v>
          </cell>
          <cell r="C20">
            <v>8</v>
          </cell>
          <cell r="D20">
            <v>8</v>
          </cell>
          <cell r="E20">
            <v>0</v>
          </cell>
          <cell r="F20">
            <v>0</v>
          </cell>
          <cell r="G20">
            <v>8</v>
          </cell>
          <cell r="H20">
            <v>1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2</v>
          </cell>
          <cell r="N20">
            <v>2.375</v>
          </cell>
          <cell r="O20">
            <v>21.59090909090909</v>
          </cell>
          <cell r="P20">
            <v>0.53977272727272729</v>
          </cell>
        </row>
        <row r="21">
          <cell r="B21" t="str">
            <v>Rallabudugur</v>
          </cell>
          <cell r="C21">
            <v>2</v>
          </cell>
          <cell r="D21">
            <v>2</v>
          </cell>
          <cell r="E21">
            <v>0</v>
          </cell>
          <cell r="F21">
            <v>0</v>
          </cell>
          <cell r="G21">
            <v>2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2</v>
          </cell>
          <cell r="O21">
            <v>18.181818181818183</v>
          </cell>
          <cell r="P21">
            <v>0.45454545454545459</v>
          </cell>
        </row>
        <row r="22">
          <cell r="B22" t="str">
            <v>Chittoor I Town UPS</v>
          </cell>
          <cell r="C22">
            <v>3</v>
          </cell>
          <cell r="D22">
            <v>3</v>
          </cell>
          <cell r="E22">
            <v>1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1.3333333333333333</v>
          </cell>
          <cell r="O22">
            <v>12.121212121212119</v>
          </cell>
          <cell r="P22">
            <v>0.30303030303030298</v>
          </cell>
        </row>
        <row r="23">
          <cell r="B23" t="str">
            <v>Irala</v>
          </cell>
          <cell r="C23">
            <v>3</v>
          </cell>
          <cell r="D23">
            <v>3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1</v>
          </cell>
          <cell r="O23">
            <v>9.0909090909090917</v>
          </cell>
          <cell r="P23">
            <v>0.22727272727272729</v>
          </cell>
        </row>
        <row r="24">
          <cell r="B24" t="str">
            <v>G.D.Nellore UPS</v>
          </cell>
          <cell r="C24">
            <v>1</v>
          </cell>
          <cell r="D24">
            <v>1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1</v>
          </cell>
          <cell r="O24">
            <v>9.0909090909090917</v>
          </cell>
          <cell r="P24">
            <v>0.22727272727272729</v>
          </cell>
        </row>
        <row r="25">
          <cell r="B25" t="str">
            <v>Chittoor Traffic UPS</v>
          </cell>
          <cell r="C25">
            <v>1</v>
          </cell>
          <cell r="D25">
            <v>1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1</v>
          </cell>
          <cell r="O25">
            <v>9.0909090909090917</v>
          </cell>
          <cell r="P25">
            <v>0.22727272727272729</v>
          </cell>
        </row>
        <row r="26">
          <cell r="B26" t="str">
            <v>Kallur</v>
          </cell>
          <cell r="C26">
            <v>1</v>
          </cell>
          <cell r="D26">
            <v>1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1</v>
          </cell>
          <cell r="O26">
            <v>9.0909090909090917</v>
          </cell>
          <cell r="P26">
            <v>0.22727272727272729</v>
          </cell>
        </row>
        <row r="27">
          <cell r="B27" t="str">
            <v>Palamaner UPS</v>
          </cell>
          <cell r="C27">
            <v>2</v>
          </cell>
          <cell r="D27">
            <v>1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0.5</v>
          </cell>
          <cell r="O27">
            <v>4.5454545454545459</v>
          </cell>
          <cell r="P27">
            <v>0.11363636363636365</v>
          </cell>
        </row>
        <row r="28">
          <cell r="B28" t="str">
            <v>Yadamari</v>
          </cell>
          <cell r="C28">
            <v>2</v>
          </cell>
          <cell r="D28">
            <v>1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0.5</v>
          </cell>
          <cell r="O28">
            <v>4.5454545454545459</v>
          </cell>
          <cell r="P28">
            <v>0.11363636363636365</v>
          </cell>
        </row>
        <row r="29">
          <cell r="B29" t="str">
            <v>Vijayapuram</v>
          </cell>
          <cell r="C29">
            <v>1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</row>
        <row r="30">
          <cell r="B30" t="str">
            <v>Narsingarayanipet(N.R.Pet)</v>
          </cell>
          <cell r="C30">
            <v>1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</row>
        <row r="31">
          <cell r="B31" t="str">
            <v>Penumur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50</v>
          </cell>
          <cell r="P31">
            <v>1.25</v>
          </cell>
        </row>
        <row r="32">
          <cell r="B32" t="str">
            <v>Rompicherla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50</v>
          </cell>
          <cell r="P32">
            <v>1.25</v>
          </cell>
        </row>
        <row r="33">
          <cell r="B33" t="str">
            <v>Chittoor Taluk PS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50</v>
          </cell>
          <cell r="P33">
            <v>1.25</v>
          </cell>
        </row>
        <row r="34">
          <cell r="B34" t="str">
            <v>Mahila UPS, Chittoor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50</v>
          </cell>
          <cell r="P34">
            <v>1.25</v>
          </cell>
        </row>
        <row r="35">
          <cell r="B35" t="str">
            <v>Palasamudram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50</v>
          </cell>
          <cell r="P35">
            <v>1.25</v>
          </cell>
        </row>
        <row r="36">
          <cell r="B36" t="str">
            <v>CCS Chittoor UPS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50</v>
          </cell>
          <cell r="P36">
            <v>1.25</v>
          </cell>
        </row>
        <row r="37">
          <cell r="C37">
            <v>70</v>
          </cell>
          <cell r="D37">
            <v>67</v>
          </cell>
          <cell r="E37">
            <v>12</v>
          </cell>
          <cell r="F37">
            <v>0</v>
          </cell>
          <cell r="G37">
            <v>53</v>
          </cell>
          <cell r="H37">
            <v>105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12</v>
          </cell>
          <cell r="N37">
            <v>3.56</v>
          </cell>
        </row>
      </sheetData>
      <sheetData sheetId="10">
        <row r="2">
          <cell r="B2" t="str">
            <v>PS</v>
          </cell>
          <cell r="C2" t="str">
            <v>Result of Appeal</v>
          </cell>
          <cell r="D2" t="str">
            <v>Missing</v>
          </cell>
          <cell r="E2" t="str">
            <v>Abandoned Person entry</v>
          </cell>
          <cell r="F2" t="str">
            <v>Unidentified Dead Body</v>
          </cell>
          <cell r="G2" t="str">
            <v>Unnatural Death</v>
          </cell>
          <cell r="H2" t="str">
            <v>Gang Profile</v>
          </cell>
          <cell r="I2" t="str">
            <v>Member Details</v>
          </cell>
          <cell r="J2" t="str">
            <v>Gang Activity Details</v>
          </cell>
          <cell r="K2" t="str">
            <v>Unclaimed Property</v>
          </cell>
          <cell r="L2" t="str">
            <v>Raw Value</v>
          </cell>
          <cell r="M2" t="str">
            <v>Marks</v>
          </cell>
        </row>
        <row r="3">
          <cell r="B3" t="str">
            <v>K. Nagar</v>
          </cell>
          <cell r="C3" t="str">
            <v>NA</v>
          </cell>
          <cell r="D3" t="str">
            <v>NA</v>
          </cell>
          <cell r="E3" t="str">
            <v>NA</v>
          </cell>
          <cell r="F3" t="str">
            <v>NA</v>
          </cell>
          <cell r="G3" t="str">
            <v>NA</v>
          </cell>
          <cell r="H3" t="str">
            <v>NA</v>
          </cell>
          <cell r="I3" t="str">
            <v>NA</v>
          </cell>
          <cell r="J3" t="str">
            <v>NA</v>
          </cell>
          <cell r="K3" t="str">
            <v>NA</v>
          </cell>
          <cell r="L3">
            <v>0</v>
          </cell>
          <cell r="M3">
            <v>0</v>
          </cell>
        </row>
        <row r="4">
          <cell r="B4" t="str">
            <v>Baireddypalle</v>
          </cell>
          <cell r="C4" t="str">
            <v>NA</v>
          </cell>
          <cell r="D4" t="str">
            <v>NA</v>
          </cell>
          <cell r="E4" t="str">
            <v>NA</v>
          </cell>
          <cell r="F4" t="str">
            <v>NA</v>
          </cell>
          <cell r="G4" t="str">
            <v>NA</v>
          </cell>
          <cell r="H4" t="str">
            <v>NA</v>
          </cell>
          <cell r="I4" t="str">
            <v>NA</v>
          </cell>
          <cell r="J4" t="str">
            <v>NA</v>
          </cell>
          <cell r="K4" t="str">
            <v>NA</v>
          </cell>
          <cell r="L4">
            <v>0</v>
          </cell>
          <cell r="M4">
            <v>0</v>
          </cell>
        </row>
        <row r="5">
          <cell r="B5" t="str">
            <v>Nindra</v>
          </cell>
          <cell r="C5" t="str">
            <v>NA</v>
          </cell>
          <cell r="D5" t="str">
            <v>NA</v>
          </cell>
          <cell r="E5" t="str">
            <v>NA</v>
          </cell>
          <cell r="F5" t="str">
            <v>NA</v>
          </cell>
          <cell r="G5" t="str">
            <v>NA</v>
          </cell>
          <cell r="H5" t="str">
            <v>NA</v>
          </cell>
          <cell r="I5" t="str">
            <v>NA</v>
          </cell>
          <cell r="J5" t="str">
            <v>NA</v>
          </cell>
          <cell r="K5" t="str">
            <v>NA</v>
          </cell>
          <cell r="L5">
            <v>0</v>
          </cell>
          <cell r="M5">
            <v>0</v>
          </cell>
        </row>
        <row r="6">
          <cell r="B6" t="str">
            <v>Bangarupalem UPS</v>
          </cell>
          <cell r="C6" t="str">
            <v>NA</v>
          </cell>
          <cell r="D6" t="str">
            <v>NA</v>
          </cell>
          <cell r="E6" t="str">
            <v>NA</v>
          </cell>
          <cell r="F6" t="str">
            <v>NA</v>
          </cell>
          <cell r="G6" t="str">
            <v>NA</v>
          </cell>
          <cell r="H6" t="str">
            <v>NA</v>
          </cell>
          <cell r="I6" t="str">
            <v>NA</v>
          </cell>
          <cell r="J6" t="str">
            <v>NA</v>
          </cell>
          <cell r="K6" t="str">
            <v>NA</v>
          </cell>
          <cell r="L6">
            <v>0</v>
          </cell>
          <cell r="M6">
            <v>0</v>
          </cell>
        </row>
        <row r="7">
          <cell r="B7" t="str">
            <v>Gudipalli</v>
          </cell>
          <cell r="C7" t="str">
            <v>NA</v>
          </cell>
          <cell r="D7" t="str">
            <v>NA</v>
          </cell>
          <cell r="E7" t="str">
            <v>NA</v>
          </cell>
          <cell r="F7" t="str">
            <v>NA</v>
          </cell>
          <cell r="G7" t="str">
            <v>NA</v>
          </cell>
          <cell r="H7" t="str">
            <v>NA</v>
          </cell>
          <cell r="I7" t="str">
            <v>NA</v>
          </cell>
          <cell r="J7" t="str">
            <v>NA</v>
          </cell>
          <cell r="K7" t="str">
            <v>NA</v>
          </cell>
          <cell r="L7">
            <v>0</v>
          </cell>
          <cell r="M7">
            <v>0</v>
          </cell>
        </row>
        <row r="8">
          <cell r="B8" t="str">
            <v>Vedurukuppam</v>
          </cell>
          <cell r="C8" t="str">
            <v>NA</v>
          </cell>
          <cell r="D8" t="str">
            <v>NA</v>
          </cell>
          <cell r="E8" t="str">
            <v>NA</v>
          </cell>
          <cell r="F8" t="str">
            <v>NA</v>
          </cell>
          <cell r="G8" t="str">
            <v>NA</v>
          </cell>
          <cell r="H8" t="str">
            <v>NA</v>
          </cell>
          <cell r="I8" t="str">
            <v>NA</v>
          </cell>
          <cell r="J8" t="str">
            <v>NA</v>
          </cell>
          <cell r="K8" t="str">
            <v>NA</v>
          </cell>
          <cell r="L8">
            <v>0</v>
          </cell>
          <cell r="M8">
            <v>0</v>
          </cell>
        </row>
        <row r="9">
          <cell r="B9" t="str">
            <v>Puthalapattu UPS</v>
          </cell>
          <cell r="C9" t="str">
            <v>NA</v>
          </cell>
          <cell r="D9" t="str">
            <v>NA</v>
          </cell>
          <cell r="E9" t="str">
            <v>NA</v>
          </cell>
          <cell r="F9" t="str">
            <v>NA</v>
          </cell>
          <cell r="G9" t="str">
            <v>NA</v>
          </cell>
          <cell r="H9" t="str">
            <v>NA</v>
          </cell>
          <cell r="I9" t="str">
            <v>NA</v>
          </cell>
          <cell r="J9" t="str">
            <v>NA</v>
          </cell>
          <cell r="K9" t="str">
            <v>NA</v>
          </cell>
          <cell r="L9">
            <v>0</v>
          </cell>
          <cell r="M9">
            <v>0</v>
          </cell>
        </row>
        <row r="10">
          <cell r="B10" t="str">
            <v>Thavanampalle</v>
          </cell>
          <cell r="C10" t="str">
            <v>NA</v>
          </cell>
          <cell r="D10" t="str">
            <v>NA</v>
          </cell>
          <cell r="E10" t="str">
            <v>NA</v>
          </cell>
          <cell r="F10" t="str">
            <v>NA</v>
          </cell>
          <cell r="G10" t="str">
            <v>NA</v>
          </cell>
          <cell r="H10" t="str">
            <v>NA</v>
          </cell>
          <cell r="I10" t="str">
            <v>NA</v>
          </cell>
          <cell r="J10" t="str">
            <v>NA</v>
          </cell>
          <cell r="K10" t="str">
            <v>NA</v>
          </cell>
          <cell r="L10">
            <v>0</v>
          </cell>
          <cell r="M10">
            <v>0</v>
          </cell>
        </row>
        <row r="11">
          <cell r="B11" t="str">
            <v>Ramakuppam</v>
          </cell>
          <cell r="C11" t="str">
            <v>NA</v>
          </cell>
          <cell r="D11" t="str">
            <v>NA</v>
          </cell>
          <cell r="E11" t="str">
            <v>NA</v>
          </cell>
          <cell r="F11" t="str">
            <v>NA</v>
          </cell>
          <cell r="G11" t="str">
            <v>NA</v>
          </cell>
          <cell r="H11" t="str">
            <v>NA</v>
          </cell>
          <cell r="I11" t="str">
            <v>NA</v>
          </cell>
          <cell r="J11" t="str">
            <v>NA</v>
          </cell>
          <cell r="K11" t="str">
            <v>NA</v>
          </cell>
          <cell r="L11">
            <v>0</v>
          </cell>
          <cell r="M11">
            <v>0</v>
          </cell>
        </row>
        <row r="12">
          <cell r="B12" t="str">
            <v>Nagari UPS</v>
          </cell>
          <cell r="C12" t="str">
            <v>NA</v>
          </cell>
          <cell r="D12" t="str">
            <v>NA</v>
          </cell>
          <cell r="E12" t="str">
            <v>NA</v>
          </cell>
          <cell r="F12" t="str">
            <v>NA</v>
          </cell>
          <cell r="G12" t="str">
            <v>NA</v>
          </cell>
          <cell r="H12" t="str">
            <v>NA</v>
          </cell>
          <cell r="I12" t="str">
            <v>NA</v>
          </cell>
          <cell r="J12" t="str">
            <v>NA</v>
          </cell>
          <cell r="K12" t="str">
            <v>NA</v>
          </cell>
          <cell r="L12">
            <v>0</v>
          </cell>
          <cell r="M12">
            <v>0</v>
          </cell>
        </row>
        <row r="13">
          <cell r="B13" t="str">
            <v>Panjani</v>
          </cell>
          <cell r="C13" t="str">
            <v>NA</v>
          </cell>
          <cell r="D13" t="str">
            <v>NA</v>
          </cell>
          <cell r="E13" t="str">
            <v>NA</v>
          </cell>
          <cell r="F13" t="str">
            <v>NA</v>
          </cell>
          <cell r="G13" t="str">
            <v>NA</v>
          </cell>
          <cell r="H13" t="str">
            <v>NA</v>
          </cell>
          <cell r="I13" t="str">
            <v>NA</v>
          </cell>
          <cell r="J13" t="str">
            <v>NA</v>
          </cell>
          <cell r="K13" t="str">
            <v>NA</v>
          </cell>
          <cell r="L13">
            <v>0</v>
          </cell>
          <cell r="M13">
            <v>0</v>
          </cell>
        </row>
        <row r="14">
          <cell r="B14" t="str">
            <v>V.Kota UPS</v>
          </cell>
          <cell r="C14" t="str">
            <v>NA</v>
          </cell>
          <cell r="D14" t="str">
            <v>NA</v>
          </cell>
          <cell r="E14" t="str">
            <v>NA</v>
          </cell>
          <cell r="F14" t="str">
            <v>NA</v>
          </cell>
          <cell r="G14" t="str">
            <v>NA</v>
          </cell>
          <cell r="H14" t="str">
            <v>NA</v>
          </cell>
          <cell r="I14" t="str">
            <v>NA</v>
          </cell>
          <cell r="J14" t="str">
            <v>NA</v>
          </cell>
          <cell r="K14" t="str">
            <v>NA</v>
          </cell>
          <cell r="L14">
            <v>0</v>
          </cell>
          <cell r="M14">
            <v>0</v>
          </cell>
        </row>
        <row r="15">
          <cell r="B15" t="str">
            <v>Gangavaram UPS</v>
          </cell>
          <cell r="C15" t="str">
            <v>NA</v>
          </cell>
          <cell r="D15" t="str">
            <v>NA</v>
          </cell>
          <cell r="E15" t="str">
            <v>NA</v>
          </cell>
          <cell r="F15" t="str">
            <v>NA</v>
          </cell>
          <cell r="G15" t="str">
            <v>NA</v>
          </cell>
          <cell r="H15" t="str">
            <v>NA</v>
          </cell>
          <cell r="I15" t="str">
            <v>NA</v>
          </cell>
          <cell r="J15" t="str">
            <v>NA</v>
          </cell>
          <cell r="K15" t="str">
            <v>NA</v>
          </cell>
          <cell r="L15">
            <v>0</v>
          </cell>
          <cell r="M15">
            <v>0</v>
          </cell>
        </row>
        <row r="16">
          <cell r="B16" t="str">
            <v>Chittoor II Town UPS</v>
          </cell>
          <cell r="C16" t="str">
            <v>NA</v>
          </cell>
          <cell r="D16" t="str">
            <v>NA</v>
          </cell>
          <cell r="E16" t="str">
            <v>NA</v>
          </cell>
          <cell r="F16" t="str">
            <v>NA</v>
          </cell>
          <cell r="G16" t="str">
            <v>NA</v>
          </cell>
          <cell r="H16" t="str">
            <v>NA</v>
          </cell>
          <cell r="I16" t="str">
            <v>NA</v>
          </cell>
          <cell r="J16" t="str">
            <v>NA</v>
          </cell>
          <cell r="K16" t="str">
            <v>NA</v>
          </cell>
          <cell r="L16">
            <v>0</v>
          </cell>
          <cell r="M16">
            <v>0</v>
          </cell>
        </row>
        <row r="17">
          <cell r="B17" t="str">
            <v>S.R.Puram</v>
          </cell>
          <cell r="C17" t="str">
            <v>NA</v>
          </cell>
          <cell r="D17" t="str">
            <v>NA</v>
          </cell>
          <cell r="E17" t="str">
            <v>NA</v>
          </cell>
          <cell r="F17" t="str">
            <v>NA</v>
          </cell>
          <cell r="G17" t="str">
            <v>NA</v>
          </cell>
          <cell r="H17" t="str">
            <v>NA</v>
          </cell>
          <cell r="I17" t="str">
            <v>NA</v>
          </cell>
          <cell r="J17" t="str">
            <v>NA</v>
          </cell>
          <cell r="K17" t="str">
            <v>NA</v>
          </cell>
          <cell r="L17">
            <v>0</v>
          </cell>
          <cell r="M17">
            <v>0</v>
          </cell>
        </row>
        <row r="18">
          <cell r="B18" t="str">
            <v>Kanipakam</v>
          </cell>
          <cell r="C18" t="str">
            <v>NA</v>
          </cell>
          <cell r="D18" t="str">
            <v>NA</v>
          </cell>
          <cell r="E18" t="str">
            <v>NA</v>
          </cell>
          <cell r="F18" t="str">
            <v>NA</v>
          </cell>
          <cell r="G18" t="str">
            <v>NA</v>
          </cell>
          <cell r="H18" t="str">
            <v>NA</v>
          </cell>
          <cell r="I18" t="str">
            <v>NA</v>
          </cell>
          <cell r="J18" t="str">
            <v>NA</v>
          </cell>
          <cell r="K18" t="str">
            <v>NA</v>
          </cell>
          <cell r="L18">
            <v>0</v>
          </cell>
          <cell r="M18">
            <v>0</v>
          </cell>
        </row>
        <row r="19">
          <cell r="B19" t="str">
            <v>Gudipala</v>
          </cell>
          <cell r="C19" t="str">
            <v>NA</v>
          </cell>
          <cell r="D19" t="str">
            <v>NA</v>
          </cell>
          <cell r="E19" t="str">
            <v>NA</v>
          </cell>
          <cell r="F19" t="str">
            <v>NA</v>
          </cell>
          <cell r="G19" t="str">
            <v>NA</v>
          </cell>
          <cell r="H19" t="str">
            <v>NA</v>
          </cell>
          <cell r="I19" t="str">
            <v>NA</v>
          </cell>
          <cell r="J19" t="str">
            <v>NA</v>
          </cell>
          <cell r="K19" t="str">
            <v>NA</v>
          </cell>
          <cell r="L19">
            <v>0</v>
          </cell>
          <cell r="M19">
            <v>0</v>
          </cell>
        </row>
        <row r="20">
          <cell r="B20" t="str">
            <v>Kuppam UPS</v>
          </cell>
          <cell r="C20" t="str">
            <v>NA</v>
          </cell>
          <cell r="D20" t="str">
            <v>NA</v>
          </cell>
          <cell r="E20" t="str">
            <v>NA</v>
          </cell>
          <cell r="F20" t="str">
            <v>NA</v>
          </cell>
          <cell r="G20" t="str">
            <v>NA</v>
          </cell>
          <cell r="H20" t="str">
            <v>NA</v>
          </cell>
          <cell r="I20" t="str">
            <v>NA</v>
          </cell>
          <cell r="J20" t="str">
            <v>NA</v>
          </cell>
          <cell r="K20" t="str">
            <v>NA</v>
          </cell>
          <cell r="L20">
            <v>0</v>
          </cell>
          <cell r="M20">
            <v>0</v>
          </cell>
        </row>
        <row r="21">
          <cell r="B21" t="str">
            <v>Rallabudugur</v>
          </cell>
          <cell r="C21" t="str">
            <v>NA</v>
          </cell>
          <cell r="D21" t="str">
            <v>NA</v>
          </cell>
          <cell r="E21" t="str">
            <v>NA</v>
          </cell>
          <cell r="F21" t="str">
            <v>NA</v>
          </cell>
          <cell r="G21" t="str">
            <v>NA</v>
          </cell>
          <cell r="H21" t="str">
            <v>NA</v>
          </cell>
          <cell r="I21" t="str">
            <v>NA</v>
          </cell>
          <cell r="J21" t="str">
            <v>NA</v>
          </cell>
          <cell r="K21" t="str">
            <v>NA</v>
          </cell>
          <cell r="L21">
            <v>0</v>
          </cell>
          <cell r="M21">
            <v>0</v>
          </cell>
        </row>
        <row r="22">
          <cell r="B22" t="str">
            <v>Chittoor I Town UPS</v>
          </cell>
          <cell r="C22" t="str">
            <v>NA</v>
          </cell>
          <cell r="D22" t="str">
            <v>NA</v>
          </cell>
          <cell r="E22" t="str">
            <v>NA</v>
          </cell>
          <cell r="F22" t="str">
            <v>NA</v>
          </cell>
          <cell r="G22" t="str">
            <v>NA</v>
          </cell>
          <cell r="H22" t="str">
            <v>NA</v>
          </cell>
          <cell r="I22" t="str">
            <v>NA</v>
          </cell>
          <cell r="J22" t="str">
            <v>NA</v>
          </cell>
          <cell r="K22" t="str">
            <v>NA</v>
          </cell>
          <cell r="L22">
            <v>0</v>
          </cell>
          <cell r="M22">
            <v>0</v>
          </cell>
        </row>
        <row r="23">
          <cell r="B23" t="str">
            <v>Irala</v>
          </cell>
          <cell r="C23" t="str">
            <v>NA</v>
          </cell>
          <cell r="D23" t="str">
            <v>NA</v>
          </cell>
          <cell r="E23" t="str">
            <v>NA</v>
          </cell>
          <cell r="F23" t="str">
            <v>NA</v>
          </cell>
          <cell r="G23" t="str">
            <v>NA</v>
          </cell>
          <cell r="H23" t="str">
            <v>NA</v>
          </cell>
          <cell r="I23" t="str">
            <v>NA</v>
          </cell>
          <cell r="J23" t="str">
            <v>NA</v>
          </cell>
          <cell r="K23" t="str">
            <v>NA</v>
          </cell>
          <cell r="L23">
            <v>0</v>
          </cell>
          <cell r="M23">
            <v>0</v>
          </cell>
        </row>
        <row r="24">
          <cell r="B24" t="str">
            <v>G.D.Nellore UPS</v>
          </cell>
          <cell r="C24" t="str">
            <v>NA</v>
          </cell>
          <cell r="D24" t="str">
            <v>NA</v>
          </cell>
          <cell r="E24" t="str">
            <v>NA</v>
          </cell>
          <cell r="F24" t="str">
            <v>NA</v>
          </cell>
          <cell r="G24" t="str">
            <v>NA</v>
          </cell>
          <cell r="H24" t="str">
            <v>NA</v>
          </cell>
          <cell r="I24" t="str">
            <v>NA</v>
          </cell>
          <cell r="J24" t="str">
            <v>NA</v>
          </cell>
          <cell r="K24" t="str">
            <v>NA</v>
          </cell>
          <cell r="L24">
            <v>0</v>
          </cell>
          <cell r="M24">
            <v>0</v>
          </cell>
        </row>
        <row r="25">
          <cell r="B25" t="str">
            <v>Chittoor Traffic UPS</v>
          </cell>
          <cell r="C25" t="str">
            <v>NA</v>
          </cell>
          <cell r="D25" t="str">
            <v>NA</v>
          </cell>
          <cell r="E25" t="str">
            <v>NA</v>
          </cell>
          <cell r="F25" t="str">
            <v>NA</v>
          </cell>
          <cell r="G25" t="str">
            <v>NA</v>
          </cell>
          <cell r="H25" t="str">
            <v>NA</v>
          </cell>
          <cell r="I25" t="str">
            <v>NA</v>
          </cell>
          <cell r="J25" t="str">
            <v>NA</v>
          </cell>
          <cell r="K25" t="str">
            <v>NA</v>
          </cell>
          <cell r="L25">
            <v>0</v>
          </cell>
          <cell r="M25">
            <v>0</v>
          </cell>
        </row>
        <row r="26">
          <cell r="B26" t="str">
            <v>Kallur</v>
          </cell>
          <cell r="C26" t="str">
            <v>NA</v>
          </cell>
          <cell r="D26" t="str">
            <v>NA</v>
          </cell>
          <cell r="E26" t="str">
            <v>NA</v>
          </cell>
          <cell r="F26" t="str">
            <v>NA</v>
          </cell>
          <cell r="G26" t="str">
            <v>NA</v>
          </cell>
          <cell r="H26" t="str">
            <v>NA</v>
          </cell>
          <cell r="I26" t="str">
            <v>NA</v>
          </cell>
          <cell r="J26" t="str">
            <v>NA</v>
          </cell>
          <cell r="K26" t="str">
            <v>NA</v>
          </cell>
          <cell r="L26">
            <v>0</v>
          </cell>
          <cell r="M26">
            <v>0</v>
          </cell>
        </row>
        <row r="27">
          <cell r="B27" t="str">
            <v>Palamaner UPS</v>
          </cell>
          <cell r="C27" t="str">
            <v>NA</v>
          </cell>
          <cell r="D27" t="str">
            <v>NA</v>
          </cell>
          <cell r="E27" t="str">
            <v>NA</v>
          </cell>
          <cell r="F27" t="str">
            <v>NA</v>
          </cell>
          <cell r="G27" t="str">
            <v>NA</v>
          </cell>
          <cell r="H27" t="str">
            <v>NA</v>
          </cell>
          <cell r="I27" t="str">
            <v>NA</v>
          </cell>
          <cell r="J27" t="str">
            <v>NA</v>
          </cell>
          <cell r="K27" t="str">
            <v>NA</v>
          </cell>
          <cell r="L27">
            <v>0</v>
          </cell>
          <cell r="M27">
            <v>0</v>
          </cell>
        </row>
        <row r="28">
          <cell r="B28" t="str">
            <v>Yadamari</v>
          </cell>
          <cell r="C28" t="str">
            <v>NA</v>
          </cell>
          <cell r="D28" t="str">
            <v>NA</v>
          </cell>
          <cell r="E28" t="str">
            <v>NA</v>
          </cell>
          <cell r="F28" t="str">
            <v>NA</v>
          </cell>
          <cell r="G28" t="str">
            <v>NA</v>
          </cell>
          <cell r="H28" t="str">
            <v>NA</v>
          </cell>
          <cell r="I28" t="str">
            <v>NA</v>
          </cell>
          <cell r="J28" t="str">
            <v>NA</v>
          </cell>
          <cell r="K28" t="str">
            <v>NA</v>
          </cell>
          <cell r="L28">
            <v>0</v>
          </cell>
          <cell r="M28">
            <v>0</v>
          </cell>
        </row>
        <row r="29">
          <cell r="B29" t="str">
            <v>Vijayapuram</v>
          </cell>
          <cell r="C29" t="str">
            <v>NA</v>
          </cell>
          <cell r="D29" t="str">
            <v>NA</v>
          </cell>
          <cell r="E29" t="str">
            <v>NA</v>
          </cell>
          <cell r="F29" t="str">
            <v>NA</v>
          </cell>
          <cell r="G29" t="str">
            <v>NA</v>
          </cell>
          <cell r="H29" t="str">
            <v>NA</v>
          </cell>
          <cell r="I29" t="str">
            <v>NA</v>
          </cell>
          <cell r="J29" t="str">
            <v>NA</v>
          </cell>
          <cell r="K29" t="str">
            <v>NA</v>
          </cell>
          <cell r="L29">
            <v>0</v>
          </cell>
          <cell r="M29">
            <v>0</v>
          </cell>
        </row>
        <row r="30">
          <cell r="B30" t="str">
            <v>Narsingarayanipet(N.R.Pet)</v>
          </cell>
          <cell r="C30" t="str">
            <v>NA</v>
          </cell>
          <cell r="D30" t="str">
            <v>NA</v>
          </cell>
          <cell r="E30" t="str">
            <v>NA</v>
          </cell>
          <cell r="F30" t="str">
            <v>NA</v>
          </cell>
          <cell r="G30" t="str">
            <v>NA</v>
          </cell>
          <cell r="H30" t="str">
            <v>NA</v>
          </cell>
          <cell r="I30" t="str">
            <v>NA</v>
          </cell>
          <cell r="J30" t="str">
            <v>NA</v>
          </cell>
          <cell r="K30" t="str">
            <v>NA</v>
          </cell>
          <cell r="L30">
            <v>0</v>
          </cell>
          <cell r="M30">
            <v>0</v>
          </cell>
        </row>
        <row r="31">
          <cell r="B31" t="str">
            <v>Penumur</v>
          </cell>
          <cell r="C31" t="str">
            <v>NA</v>
          </cell>
          <cell r="D31" t="str">
            <v>NA</v>
          </cell>
          <cell r="E31" t="str">
            <v>NA</v>
          </cell>
          <cell r="F31" t="str">
            <v>NA</v>
          </cell>
          <cell r="G31" t="str">
            <v>NA</v>
          </cell>
          <cell r="H31" t="str">
            <v>NA</v>
          </cell>
          <cell r="I31" t="str">
            <v>NA</v>
          </cell>
          <cell r="J31" t="str">
            <v>NA</v>
          </cell>
          <cell r="K31" t="str">
            <v>NA</v>
          </cell>
          <cell r="L31">
            <v>0</v>
          </cell>
          <cell r="M31">
            <v>0</v>
          </cell>
        </row>
        <row r="32">
          <cell r="B32" t="str">
            <v>Rompicherla</v>
          </cell>
          <cell r="C32" t="str">
            <v>NA</v>
          </cell>
          <cell r="D32" t="str">
            <v>NA</v>
          </cell>
          <cell r="E32" t="str">
            <v>NA</v>
          </cell>
          <cell r="F32" t="str">
            <v>NA</v>
          </cell>
          <cell r="G32" t="str">
            <v>NA</v>
          </cell>
          <cell r="H32" t="str">
            <v>NA</v>
          </cell>
          <cell r="I32" t="str">
            <v>NA</v>
          </cell>
          <cell r="J32" t="str">
            <v>NA</v>
          </cell>
          <cell r="K32" t="str">
            <v>NA</v>
          </cell>
          <cell r="L32">
            <v>0</v>
          </cell>
          <cell r="M32">
            <v>0</v>
          </cell>
        </row>
        <row r="33">
          <cell r="B33" t="str">
            <v>Chittoor Taluk PS</v>
          </cell>
          <cell r="C33" t="str">
            <v>NA</v>
          </cell>
          <cell r="D33" t="str">
            <v>NA</v>
          </cell>
          <cell r="E33" t="str">
            <v>NA</v>
          </cell>
          <cell r="F33" t="str">
            <v>NA</v>
          </cell>
          <cell r="G33" t="str">
            <v>NA</v>
          </cell>
          <cell r="H33" t="str">
            <v>NA</v>
          </cell>
          <cell r="I33" t="str">
            <v>NA</v>
          </cell>
          <cell r="J33" t="str">
            <v>NA</v>
          </cell>
          <cell r="K33" t="str">
            <v>NA</v>
          </cell>
          <cell r="L33">
            <v>0</v>
          </cell>
          <cell r="M33">
            <v>0</v>
          </cell>
        </row>
        <row r="34">
          <cell r="B34" t="str">
            <v>Mahila UPS, Chittoor</v>
          </cell>
          <cell r="C34" t="str">
            <v>NA</v>
          </cell>
          <cell r="D34" t="str">
            <v>NA</v>
          </cell>
          <cell r="E34" t="str">
            <v>NA</v>
          </cell>
          <cell r="F34" t="str">
            <v>NA</v>
          </cell>
          <cell r="G34" t="str">
            <v>NA</v>
          </cell>
          <cell r="H34" t="str">
            <v>NA</v>
          </cell>
          <cell r="I34" t="str">
            <v>NA</v>
          </cell>
          <cell r="J34" t="str">
            <v>NA</v>
          </cell>
          <cell r="K34" t="str">
            <v>NA</v>
          </cell>
          <cell r="L34">
            <v>0</v>
          </cell>
          <cell r="M34">
            <v>0</v>
          </cell>
        </row>
        <row r="35">
          <cell r="B35" t="str">
            <v>Palasamudram</v>
          </cell>
          <cell r="C35" t="str">
            <v>NA</v>
          </cell>
          <cell r="D35" t="str">
            <v>NA</v>
          </cell>
          <cell r="E35" t="str">
            <v>NA</v>
          </cell>
          <cell r="F35" t="str">
            <v>NA</v>
          </cell>
          <cell r="G35" t="str">
            <v>NA</v>
          </cell>
          <cell r="H35" t="str">
            <v>NA</v>
          </cell>
          <cell r="I35" t="str">
            <v>NA</v>
          </cell>
          <cell r="J35" t="str">
            <v>NA</v>
          </cell>
          <cell r="K35" t="str">
            <v>NA</v>
          </cell>
          <cell r="L35">
            <v>0</v>
          </cell>
          <cell r="M35">
            <v>0</v>
          </cell>
        </row>
        <row r="36">
          <cell r="B36" t="str">
            <v>CCS Chittoor UPS</v>
          </cell>
          <cell r="C36" t="str">
            <v>NA</v>
          </cell>
          <cell r="D36" t="str">
            <v>NA</v>
          </cell>
          <cell r="E36" t="str">
            <v>NA</v>
          </cell>
          <cell r="F36" t="str">
            <v>NA</v>
          </cell>
          <cell r="G36" t="str">
            <v>NA</v>
          </cell>
          <cell r="H36" t="str">
            <v>NA</v>
          </cell>
          <cell r="I36" t="str">
            <v>NA</v>
          </cell>
          <cell r="J36" t="str">
            <v>NA</v>
          </cell>
          <cell r="K36" t="str">
            <v>NA</v>
          </cell>
          <cell r="L36">
            <v>0</v>
          </cell>
          <cell r="M36">
            <v>0</v>
          </cell>
        </row>
        <row r="37"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</row>
      </sheetData>
      <sheetData sheetId="11">
        <row r="2">
          <cell r="B2" t="str">
            <v>PS Name</v>
          </cell>
          <cell r="C2" t="str">
            <v>No. of Zero FIRs Registered</v>
          </cell>
          <cell r="D2" t="str">
            <v>Pending to Transfer</v>
          </cell>
          <cell r="E2" t="str">
            <v>No. of Zero FIRs Received</v>
          </cell>
          <cell r="F2" t="str">
            <v>Pending to  Re-Register</v>
          </cell>
          <cell r="G2" t="str">
            <v>Raw Value</v>
          </cell>
          <cell r="H2" t="str">
            <v>Marks</v>
          </cell>
        </row>
        <row r="3">
          <cell r="B3" t="str">
            <v>Baireddypalle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100</v>
          </cell>
          <cell r="H3">
            <v>5</v>
          </cell>
        </row>
        <row r="4">
          <cell r="B4" t="str">
            <v>Bangarupalem UPS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100</v>
          </cell>
          <cell r="H4">
            <v>5</v>
          </cell>
        </row>
        <row r="5">
          <cell r="B5" t="str">
            <v>CCS Chittoor UPS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100</v>
          </cell>
          <cell r="H5">
            <v>5</v>
          </cell>
        </row>
        <row r="6">
          <cell r="B6" t="str">
            <v>Chittoor I Town UPS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100</v>
          </cell>
          <cell r="H6">
            <v>5</v>
          </cell>
        </row>
        <row r="7">
          <cell r="B7" t="str">
            <v>Chittoor II Town UPS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100</v>
          </cell>
          <cell r="H7">
            <v>5</v>
          </cell>
        </row>
        <row r="8">
          <cell r="B8" t="str">
            <v>Chittoor Taluk PS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100</v>
          </cell>
          <cell r="H8">
            <v>5</v>
          </cell>
        </row>
        <row r="9">
          <cell r="B9" t="str">
            <v>Chittoor Traffic UPS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100</v>
          </cell>
          <cell r="H9">
            <v>5</v>
          </cell>
        </row>
        <row r="10">
          <cell r="B10" t="str">
            <v>G.D.Nellore UPS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100</v>
          </cell>
          <cell r="H10">
            <v>5</v>
          </cell>
        </row>
        <row r="11">
          <cell r="B11" t="str">
            <v>Gangavaram UPS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100</v>
          </cell>
          <cell r="H11">
            <v>5</v>
          </cell>
        </row>
        <row r="12">
          <cell r="B12" t="str">
            <v>Gudipala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100</v>
          </cell>
          <cell r="H12">
            <v>5</v>
          </cell>
        </row>
        <row r="13">
          <cell r="B13" t="str">
            <v>Gudipalli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100</v>
          </cell>
          <cell r="H13">
            <v>5</v>
          </cell>
        </row>
        <row r="14">
          <cell r="B14" t="str">
            <v>Irala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100</v>
          </cell>
          <cell r="H14">
            <v>5</v>
          </cell>
        </row>
        <row r="15">
          <cell r="B15" t="str">
            <v>K. Nagar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100</v>
          </cell>
          <cell r="H15">
            <v>5</v>
          </cell>
        </row>
        <row r="16">
          <cell r="B16" t="str">
            <v>Kallur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100</v>
          </cell>
          <cell r="H16">
            <v>5</v>
          </cell>
        </row>
        <row r="17">
          <cell r="B17" t="str">
            <v>Kanipakam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100</v>
          </cell>
          <cell r="H17">
            <v>5</v>
          </cell>
        </row>
        <row r="18">
          <cell r="B18" t="str">
            <v>Kuppam UPS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100</v>
          </cell>
          <cell r="H18">
            <v>5</v>
          </cell>
        </row>
        <row r="19">
          <cell r="B19" t="str">
            <v>Mahila UPS, Chittoor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100</v>
          </cell>
          <cell r="H19">
            <v>5</v>
          </cell>
        </row>
        <row r="20">
          <cell r="B20" t="str">
            <v>Nagari UPS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100</v>
          </cell>
          <cell r="H20">
            <v>5</v>
          </cell>
        </row>
        <row r="21">
          <cell r="B21" t="str">
            <v>Narsingarayanipet(N.R.Pet)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100</v>
          </cell>
          <cell r="H21">
            <v>5</v>
          </cell>
        </row>
        <row r="22">
          <cell r="B22" t="str">
            <v>Nindra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100</v>
          </cell>
          <cell r="H22">
            <v>5</v>
          </cell>
        </row>
        <row r="23">
          <cell r="B23" t="str">
            <v>Palamaner UPS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100</v>
          </cell>
          <cell r="H23">
            <v>5</v>
          </cell>
        </row>
        <row r="24">
          <cell r="B24" t="str">
            <v>Palasamudram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100</v>
          </cell>
          <cell r="H24">
            <v>5</v>
          </cell>
        </row>
        <row r="25">
          <cell r="B25" t="str">
            <v>Panjani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100</v>
          </cell>
          <cell r="H25">
            <v>5</v>
          </cell>
        </row>
        <row r="26">
          <cell r="B26" t="str">
            <v>Penumur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100</v>
          </cell>
          <cell r="H26">
            <v>5</v>
          </cell>
        </row>
        <row r="27">
          <cell r="B27" t="str">
            <v>Puthalapattu UPS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100</v>
          </cell>
          <cell r="H27">
            <v>5</v>
          </cell>
        </row>
        <row r="28">
          <cell r="B28" t="str">
            <v>Rallabudugur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100</v>
          </cell>
          <cell r="H28">
            <v>5</v>
          </cell>
        </row>
        <row r="29">
          <cell r="B29" t="str">
            <v>Ramakuppam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100</v>
          </cell>
          <cell r="H29">
            <v>5</v>
          </cell>
        </row>
        <row r="30">
          <cell r="B30" t="str">
            <v>Rompicherla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100</v>
          </cell>
          <cell r="H30">
            <v>5</v>
          </cell>
        </row>
        <row r="31">
          <cell r="B31" t="str">
            <v>S.R.Puram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100</v>
          </cell>
          <cell r="H31">
            <v>5</v>
          </cell>
        </row>
        <row r="32">
          <cell r="B32" t="str">
            <v>Thavanampalle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100</v>
          </cell>
          <cell r="H32">
            <v>5</v>
          </cell>
        </row>
        <row r="33">
          <cell r="B33" t="str">
            <v>V.Kota UPS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100</v>
          </cell>
          <cell r="H33">
            <v>5</v>
          </cell>
        </row>
        <row r="34">
          <cell r="B34" t="str">
            <v>Vedurukuppam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100</v>
          </cell>
          <cell r="H34">
            <v>5</v>
          </cell>
        </row>
        <row r="35">
          <cell r="B35" t="str">
            <v>Vijayapuram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100</v>
          </cell>
          <cell r="H35">
            <v>5</v>
          </cell>
        </row>
        <row r="36">
          <cell r="B36" t="str">
            <v>Yadamari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100</v>
          </cell>
          <cell r="H36">
            <v>5</v>
          </cell>
        </row>
      </sheetData>
      <sheetData sheetId="12">
        <row r="2">
          <cell r="B2" t="str">
            <v>PS NAME</v>
          </cell>
          <cell r="C2" t="str">
            <v>Total Online Petitions</v>
          </cell>
          <cell r="D2" t="str">
            <v>Total Disposal Petitions</v>
          </cell>
          <cell r="E2" t="str">
            <v>Total Pending Petitions</v>
          </cell>
          <cell r="F2" t="str">
            <v>Pending %</v>
          </cell>
          <cell r="G2" t="str">
            <v>Raw Value</v>
          </cell>
          <cell r="H2" t="str">
            <v>Marks</v>
          </cell>
        </row>
        <row r="3">
          <cell r="B3" t="str">
            <v>Baireddypalle</v>
          </cell>
          <cell r="C3">
            <v>35</v>
          </cell>
          <cell r="D3">
            <v>35</v>
          </cell>
          <cell r="E3">
            <v>0</v>
          </cell>
          <cell r="F3">
            <v>0</v>
          </cell>
          <cell r="G3">
            <v>100</v>
          </cell>
          <cell r="H3">
            <v>5</v>
          </cell>
        </row>
        <row r="4">
          <cell r="B4" t="str">
            <v>Bangarupalem ups</v>
          </cell>
          <cell r="C4">
            <v>196</v>
          </cell>
          <cell r="D4">
            <v>196</v>
          </cell>
          <cell r="E4">
            <v>0</v>
          </cell>
          <cell r="F4">
            <v>0</v>
          </cell>
          <cell r="G4">
            <v>100</v>
          </cell>
          <cell r="H4">
            <v>5</v>
          </cell>
        </row>
        <row r="5">
          <cell r="B5" t="str">
            <v>CCS Chittoor UPS</v>
          </cell>
          <cell r="C5">
            <v>31</v>
          </cell>
          <cell r="D5">
            <v>31</v>
          </cell>
          <cell r="E5">
            <v>0</v>
          </cell>
          <cell r="F5">
            <v>0</v>
          </cell>
          <cell r="G5">
            <v>100</v>
          </cell>
          <cell r="H5">
            <v>5</v>
          </cell>
        </row>
        <row r="6">
          <cell r="B6" t="str">
            <v>Chittoor I Town UPS</v>
          </cell>
          <cell r="C6">
            <v>202</v>
          </cell>
          <cell r="D6">
            <v>202</v>
          </cell>
          <cell r="E6">
            <v>0</v>
          </cell>
          <cell r="F6">
            <v>0</v>
          </cell>
          <cell r="G6">
            <v>100</v>
          </cell>
          <cell r="H6">
            <v>5</v>
          </cell>
        </row>
        <row r="7">
          <cell r="B7" t="str">
            <v>Chittoor II Town UPS</v>
          </cell>
          <cell r="C7">
            <v>258</v>
          </cell>
          <cell r="D7">
            <v>258</v>
          </cell>
          <cell r="E7">
            <v>0</v>
          </cell>
          <cell r="F7">
            <v>0</v>
          </cell>
          <cell r="G7">
            <v>100</v>
          </cell>
          <cell r="H7">
            <v>5</v>
          </cell>
        </row>
        <row r="8">
          <cell r="B8" t="str">
            <v>Chittoor Taluk PS</v>
          </cell>
          <cell r="C8">
            <v>98</v>
          </cell>
          <cell r="D8">
            <v>98</v>
          </cell>
          <cell r="E8">
            <v>0</v>
          </cell>
          <cell r="F8">
            <v>0</v>
          </cell>
          <cell r="G8">
            <v>100</v>
          </cell>
          <cell r="H8">
            <v>5</v>
          </cell>
        </row>
        <row r="9">
          <cell r="B9" t="str">
            <v>Chittoor Traffic UPS</v>
          </cell>
          <cell r="C9">
            <v>7</v>
          </cell>
          <cell r="D9">
            <v>7</v>
          </cell>
          <cell r="E9">
            <v>0</v>
          </cell>
          <cell r="F9">
            <v>0</v>
          </cell>
          <cell r="G9">
            <v>100</v>
          </cell>
          <cell r="H9">
            <v>5</v>
          </cell>
        </row>
        <row r="10">
          <cell r="B10" t="str">
            <v>G.D.Nellore UPS</v>
          </cell>
          <cell r="C10">
            <v>127</v>
          </cell>
          <cell r="D10">
            <v>127</v>
          </cell>
          <cell r="E10">
            <v>0</v>
          </cell>
          <cell r="F10">
            <v>0</v>
          </cell>
          <cell r="G10">
            <v>100</v>
          </cell>
          <cell r="H10">
            <v>5</v>
          </cell>
        </row>
        <row r="11">
          <cell r="B11" t="str">
            <v>Gangavaram UPS</v>
          </cell>
          <cell r="C11">
            <v>65</v>
          </cell>
          <cell r="D11">
            <v>65</v>
          </cell>
          <cell r="E11">
            <v>0</v>
          </cell>
          <cell r="F11">
            <v>0</v>
          </cell>
          <cell r="G11">
            <v>100</v>
          </cell>
          <cell r="H11">
            <v>5</v>
          </cell>
        </row>
        <row r="12">
          <cell r="B12" t="str">
            <v>Gudipala</v>
          </cell>
          <cell r="C12">
            <v>34</v>
          </cell>
          <cell r="D12">
            <v>34</v>
          </cell>
          <cell r="E12">
            <v>0</v>
          </cell>
          <cell r="F12">
            <v>0</v>
          </cell>
          <cell r="G12">
            <v>100</v>
          </cell>
          <cell r="H12">
            <v>5</v>
          </cell>
        </row>
        <row r="13">
          <cell r="B13" t="str">
            <v>Gudipalli</v>
          </cell>
          <cell r="C13">
            <v>190</v>
          </cell>
          <cell r="D13">
            <v>190</v>
          </cell>
          <cell r="E13">
            <v>0</v>
          </cell>
          <cell r="F13">
            <v>0</v>
          </cell>
          <cell r="G13">
            <v>100</v>
          </cell>
          <cell r="H13">
            <v>5</v>
          </cell>
        </row>
        <row r="14">
          <cell r="B14" t="str">
            <v>Irala</v>
          </cell>
          <cell r="C14">
            <v>17</v>
          </cell>
          <cell r="D14">
            <v>17</v>
          </cell>
          <cell r="E14">
            <v>0</v>
          </cell>
          <cell r="F14">
            <v>0</v>
          </cell>
          <cell r="G14">
            <v>100</v>
          </cell>
          <cell r="H14">
            <v>5</v>
          </cell>
        </row>
        <row r="15">
          <cell r="B15" t="str">
            <v>K. Nagar</v>
          </cell>
          <cell r="C15">
            <v>25</v>
          </cell>
          <cell r="D15">
            <v>25</v>
          </cell>
          <cell r="E15">
            <v>0</v>
          </cell>
          <cell r="F15">
            <v>0</v>
          </cell>
          <cell r="G15">
            <v>100</v>
          </cell>
          <cell r="H15">
            <v>5</v>
          </cell>
        </row>
        <row r="16">
          <cell r="B16" t="str">
            <v>Kallur</v>
          </cell>
          <cell r="C16">
            <v>49</v>
          </cell>
          <cell r="D16">
            <v>49</v>
          </cell>
          <cell r="E16">
            <v>0</v>
          </cell>
          <cell r="F16">
            <v>0</v>
          </cell>
          <cell r="G16">
            <v>100</v>
          </cell>
          <cell r="H16">
            <v>5</v>
          </cell>
        </row>
        <row r="17">
          <cell r="B17" t="str">
            <v>Kanipakam</v>
          </cell>
          <cell r="C17">
            <v>23</v>
          </cell>
          <cell r="D17">
            <v>23</v>
          </cell>
          <cell r="E17">
            <v>0</v>
          </cell>
          <cell r="F17">
            <v>0</v>
          </cell>
          <cell r="G17">
            <v>100</v>
          </cell>
          <cell r="H17">
            <v>5</v>
          </cell>
        </row>
        <row r="18">
          <cell r="B18" t="str">
            <v>Mahila UPS, Chittoor</v>
          </cell>
          <cell r="C18">
            <v>13</v>
          </cell>
          <cell r="D18">
            <v>13</v>
          </cell>
          <cell r="E18">
            <v>0</v>
          </cell>
          <cell r="F18">
            <v>0</v>
          </cell>
          <cell r="G18">
            <v>100</v>
          </cell>
          <cell r="H18">
            <v>5</v>
          </cell>
        </row>
        <row r="19">
          <cell r="B19" t="str">
            <v>Nagari UPS</v>
          </cell>
          <cell r="C19">
            <v>164</v>
          </cell>
          <cell r="D19">
            <v>164</v>
          </cell>
          <cell r="E19">
            <v>0</v>
          </cell>
          <cell r="F19">
            <v>0</v>
          </cell>
          <cell r="G19">
            <v>100</v>
          </cell>
          <cell r="H19">
            <v>5</v>
          </cell>
        </row>
        <row r="20">
          <cell r="B20" t="str">
            <v>Narsingarayanipet(N.R.Pet)</v>
          </cell>
          <cell r="C20">
            <v>75</v>
          </cell>
          <cell r="D20">
            <v>75</v>
          </cell>
          <cell r="E20">
            <v>0</v>
          </cell>
          <cell r="F20">
            <v>0</v>
          </cell>
          <cell r="G20">
            <v>100</v>
          </cell>
          <cell r="H20">
            <v>5</v>
          </cell>
        </row>
        <row r="21">
          <cell r="B21" t="str">
            <v>Nindra</v>
          </cell>
          <cell r="C21">
            <v>25</v>
          </cell>
          <cell r="D21">
            <v>25</v>
          </cell>
          <cell r="E21">
            <v>0</v>
          </cell>
          <cell r="F21">
            <v>0</v>
          </cell>
          <cell r="G21">
            <v>100</v>
          </cell>
          <cell r="H21">
            <v>5</v>
          </cell>
        </row>
        <row r="22">
          <cell r="B22" t="str">
            <v>Palamaner UPS</v>
          </cell>
          <cell r="C22">
            <v>209</v>
          </cell>
          <cell r="D22">
            <v>209</v>
          </cell>
          <cell r="E22">
            <v>0</v>
          </cell>
          <cell r="F22">
            <v>0</v>
          </cell>
          <cell r="G22">
            <v>100</v>
          </cell>
          <cell r="H22">
            <v>5</v>
          </cell>
        </row>
        <row r="23">
          <cell r="B23" t="str">
            <v>Palasamudram</v>
          </cell>
          <cell r="C23">
            <v>8</v>
          </cell>
          <cell r="D23">
            <v>8</v>
          </cell>
          <cell r="E23">
            <v>0</v>
          </cell>
          <cell r="F23">
            <v>0</v>
          </cell>
          <cell r="G23">
            <v>100</v>
          </cell>
          <cell r="H23">
            <v>5</v>
          </cell>
        </row>
        <row r="24">
          <cell r="B24" t="str">
            <v>Panjani</v>
          </cell>
          <cell r="C24">
            <v>59</v>
          </cell>
          <cell r="D24">
            <v>59</v>
          </cell>
          <cell r="E24">
            <v>0</v>
          </cell>
          <cell r="F24">
            <v>0</v>
          </cell>
          <cell r="G24">
            <v>100</v>
          </cell>
          <cell r="H24">
            <v>5</v>
          </cell>
        </row>
        <row r="25">
          <cell r="B25" t="str">
            <v>Penumur</v>
          </cell>
          <cell r="C25">
            <v>53</v>
          </cell>
          <cell r="D25">
            <v>53</v>
          </cell>
          <cell r="E25">
            <v>0</v>
          </cell>
          <cell r="F25">
            <v>0</v>
          </cell>
          <cell r="G25">
            <v>100</v>
          </cell>
          <cell r="H25">
            <v>5</v>
          </cell>
        </row>
        <row r="26">
          <cell r="B26" t="str">
            <v>Puthalapattu UPS</v>
          </cell>
          <cell r="C26">
            <v>105</v>
          </cell>
          <cell r="D26">
            <v>105</v>
          </cell>
          <cell r="E26">
            <v>0</v>
          </cell>
          <cell r="F26">
            <v>0</v>
          </cell>
          <cell r="G26">
            <v>100</v>
          </cell>
          <cell r="H26">
            <v>5</v>
          </cell>
        </row>
        <row r="27">
          <cell r="B27" t="str">
            <v>Rallabudugur</v>
          </cell>
          <cell r="C27">
            <v>447</v>
          </cell>
          <cell r="D27">
            <v>447</v>
          </cell>
          <cell r="E27">
            <v>0</v>
          </cell>
          <cell r="F27">
            <v>0</v>
          </cell>
          <cell r="G27">
            <v>100</v>
          </cell>
          <cell r="H27">
            <v>5</v>
          </cell>
        </row>
        <row r="28">
          <cell r="B28" t="str">
            <v>Rompicherla</v>
          </cell>
          <cell r="C28">
            <v>27</v>
          </cell>
          <cell r="D28">
            <v>27</v>
          </cell>
          <cell r="E28">
            <v>0</v>
          </cell>
          <cell r="F28">
            <v>0</v>
          </cell>
          <cell r="G28">
            <v>100</v>
          </cell>
          <cell r="H28">
            <v>5</v>
          </cell>
        </row>
        <row r="29">
          <cell r="B29" t="str">
            <v>S.R.Puram</v>
          </cell>
          <cell r="C29">
            <v>121</v>
          </cell>
          <cell r="D29">
            <v>121</v>
          </cell>
          <cell r="E29">
            <v>0</v>
          </cell>
          <cell r="F29">
            <v>0</v>
          </cell>
          <cell r="G29">
            <v>100</v>
          </cell>
          <cell r="H29">
            <v>5</v>
          </cell>
        </row>
        <row r="30">
          <cell r="B30" t="str">
            <v>Thavanampalle</v>
          </cell>
          <cell r="C30">
            <v>75</v>
          </cell>
          <cell r="D30">
            <v>75</v>
          </cell>
          <cell r="E30">
            <v>0</v>
          </cell>
          <cell r="F30">
            <v>0</v>
          </cell>
          <cell r="G30">
            <v>100</v>
          </cell>
          <cell r="H30">
            <v>5</v>
          </cell>
        </row>
        <row r="31">
          <cell r="B31" t="str">
            <v>V.Kota UPS</v>
          </cell>
          <cell r="C31">
            <v>72</v>
          </cell>
          <cell r="D31">
            <v>72</v>
          </cell>
          <cell r="E31">
            <v>0</v>
          </cell>
          <cell r="F31">
            <v>0</v>
          </cell>
          <cell r="G31">
            <v>100</v>
          </cell>
          <cell r="H31">
            <v>5</v>
          </cell>
        </row>
        <row r="32">
          <cell r="B32" t="str">
            <v>Vedurukuppam</v>
          </cell>
          <cell r="C32">
            <v>20</v>
          </cell>
          <cell r="D32">
            <v>20</v>
          </cell>
          <cell r="E32">
            <v>0</v>
          </cell>
          <cell r="F32">
            <v>0</v>
          </cell>
          <cell r="G32">
            <v>100</v>
          </cell>
          <cell r="H32">
            <v>5</v>
          </cell>
        </row>
        <row r="33">
          <cell r="B33" t="str">
            <v>Vijayapuram</v>
          </cell>
          <cell r="C33">
            <v>20</v>
          </cell>
          <cell r="D33">
            <v>20</v>
          </cell>
          <cell r="E33">
            <v>0</v>
          </cell>
          <cell r="F33">
            <v>0</v>
          </cell>
          <cell r="G33">
            <v>100</v>
          </cell>
          <cell r="H33">
            <v>5</v>
          </cell>
        </row>
        <row r="34">
          <cell r="B34" t="str">
            <v>Yadamari</v>
          </cell>
          <cell r="C34">
            <v>39</v>
          </cell>
          <cell r="D34">
            <v>39</v>
          </cell>
          <cell r="E34">
            <v>0</v>
          </cell>
          <cell r="F34">
            <v>0</v>
          </cell>
          <cell r="G34">
            <v>100</v>
          </cell>
          <cell r="H34">
            <v>5</v>
          </cell>
        </row>
        <row r="35">
          <cell r="B35" t="str">
            <v>Kuppam UPS</v>
          </cell>
          <cell r="C35">
            <v>109</v>
          </cell>
          <cell r="D35">
            <v>108</v>
          </cell>
          <cell r="E35">
            <v>1</v>
          </cell>
          <cell r="F35">
            <v>0.92592592592592593</v>
          </cell>
          <cell r="G35">
            <v>99.074074074074076</v>
          </cell>
          <cell r="H35">
            <v>4.9537037037037042</v>
          </cell>
        </row>
        <row r="36">
          <cell r="B36" t="str">
            <v>Ramakuppam</v>
          </cell>
          <cell r="C36">
            <v>135</v>
          </cell>
          <cell r="D36">
            <v>133</v>
          </cell>
          <cell r="E36">
            <v>2</v>
          </cell>
          <cell r="F36">
            <v>1.5037593984962405</v>
          </cell>
          <cell r="G36">
            <v>98.496240601503757</v>
          </cell>
          <cell r="H36">
            <v>4.9248120300751879</v>
          </cell>
        </row>
        <row r="37">
          <cell r="B37" t="str">
            <v xml:space="preserve">SP, Chittoor </v>
          </cell>
          <cell r="C37">
            <v>95</v>
          </cell>
          <cell r="D37">
            <v>86</v>
          </cell>
          <cell r="E37">
            <v>9</v>
          </cell>
          <cell r="F37">
            <v>10.465116279069768</v>
          </cell>
          <cell r="G37">
            <v>89.534883720930225</v>
          </cell>
          <cell r="H37">
            <v>4.4767441860465116</v>
          </cell>
        </row>
        <row r="38">
          <cell r="C38">
            <v>3228</v>
          </cell>
          <cell r="D38">
            <v>3216</v>
          </cell>
          <cell r="E38">
            <v>12</v>
          </cell>
          <cell r="F38">
            <v>0.37313432835820898</v>
          </cell>
          <cell r="G38">
            <v>99.626865671641795</v>
          </cell>
          <cell r="H38">
            <v>4.9813432835820901</v>
          </cell>
        </row>
      </sheetData>
      <sheetData sheetId="13">
        <row r="2">
          <cell r="B2" t="str">
            <v>PS NAME
(B)</v>
          </cell>
          <cell r="C2" t="str">
            <v>TOTAL 
FIRS
( C )</v>
          </cell>
          <cell r="D2" t="str">
            <v>TOTAL SIDs
CREATED
( D )</v>
          </cell>
          <cell r="E2" t="str">
            <v>UI</v>
          </cell>
          <cell r="H2" t="str">
            <v>DISPOSED</v>
          </cell>
          <cell r="K2" t="str">
            <v>E SAKSHYA COMPLIANCE %
(F+I)*100/C
RAW VALUE</v>
          </cell>
          <cell r="L2" t="str">
            <v>Marks</v>
          </cell>
        </row>
        <row r="3">
          <cell r="E3" t="str">
            <v>TOTAL
UI CASES
( E)</v>
          </cell>
          <cell r="F3" t="str">
            <v>FIRS HAVING SID (F )</v>
          </cell>
          <cell r="G3" t="str">
            <v>FIRS NOT 
HAVING  SID (G)</v>
          </cell>
          <cell r="H3" t="str">
            <v>TOTAL DISPOSED
CASES (H)</v>
          </cell>
          <cell r="I3" t="str">
            <v>FIRS HAVING SID (I)</v>
          </cell>
          <cell r="J3" t="str">
            <v>FIRS NOT 
HAVING  SID(J)</v>
          </cell>
        </row>
        <row r="4">
          <cell r="B4" t="str">
            <v>Penumur</v>
          </cell>
          <cell r="C4">
            <v>205</v>
          </cell>
          <cell r="D4">
            <v>232</v>
          </cell>
          <cell r="E4">
            <v>9</v>
          </cell>
          <cell r="F4">
            <v>9</v>
          </cell>
          <cell r="G4">
            <v>0</v>
          </cell>
          <cell r="H4">
            <v>196</v>
          </cell>
          <cell r="I4">
            <v>196</v>
          </cell>
          <cell r="J4">
            <v>0</v>
          </cell>
          <cell r="K4">
            <v>100</v>
          </cell>
          <cell r="L4">
            <v>5</v>
          </cell>
        </row>
        <row r="5">
          <cell r="B5" t="str">
            <v>Yadamari</v>
          </cell>
          <cell r="C5">
            <v>234</v>
          </cell>
          <cell r="D5">
            <v>351</v>
          </cell>
          <cell r="E5">
            <v>32</v>
          </cell>
          <cell r="F5">
            <v>31</v>
          </cell>
          <cell r="G5">
            <v>1</v>
          </cell>
          <cell r="H5">
            <v>202</v>
          </cell>
          <cell r="I5">
            <v>202</v>
          </cell>
          <cell r="J5">
            <v>0</v>
          </cell>
          <cell r="K5">
            <v>99.572649572649567</v>
          </cell>
          <cell r="L5">
            <v>4.9786324786324787</v>
          </cell>
        </row>
        <row r="6">
          <cell r="B6" t="str">
            <v>Puthalapattu UPS</v>
          </cell>
          <cell r="C6">
            <v>229</v>
          </cell>
          <cell r="D6">
            <v>334</v>
          </cell>
          <cell r="E6">
            <v>37</v>
          </cell>
          <cell r="F6">
            <v>36</v>
          </cell>
          <cell r="G6">
            <v>1</v>
          </cell>
          <cell r="H6">
            <v>192</v>
          </cell>
          <cell r="I6">
            <v>192</v>
          </cell>
          <cell r="J6">
            <v>0</v>
          </cell>
          <cell r="K6">
            <v>99.563318777292579</v>
          </cell>
          <cell r="L6">
            <v>4.9781659388646293</v>
          </cell>
        </row>
        <row r="7">
          <cell r="B7" t="str">
            <v>Rallabudugur</v>
          </cell>
          <cell r="C7">
            <v>350</v>
          </cell>
          <cell r="D7">
            <v>451</v>
          </cell>
          <cell r="E7">
            <v>32</v>
          </cell>
          <cell r="F7">
            <v>30</v>
          </cell>
          <cell r="G7">
            <v>2</v>
          </cell>
          <cell r="H7">
            <v>318</v>
          </cell>
          <cell r="I7">
            <v>318</v>
          </cell>
          <cell r="J7">
            <v>0</v>
          </cell>
          <cell r="K7">
            <v>99.428571428571431</v>
          </cell>
          <cell r="L7">
            <v>4.9714285714285715</v>
          </cell>
        </row>
        <row r="8">
          <cell r="B8" t="str">
            <v>Gudipalli</v>
          </cell>
          <cell r="C8">
            <v>206</v>
          </cell>
          <cell r="D8">
            <v>228</v>
          </cell>
          <cell r="E8">
            <v>15</v>
          </cell>
          <cell r="F8">
            <v>13</v>
          </cell>
          <cell r="G8">
            <v>2</v>
          </cell>
          <cell r="H8">
            <v>191</v>
          </cell>
          <cell r="I8">
            <v>190</v>
          </cell>
          <cell r="J8">
            <v>1</v>
          </cell>
          <cell r="K8">
            <v>98.543689320388353</v>
          </cell>
          <cell r="L8">
            <v>4.9271844660194182</v>
          </cell>
        </row>
        <row r="9">
          <cell r="B9" t="str">
            <v>Nagari UPS</v>
          </cell>
          <cell r="C9">
            <v>372</v>
          </cell>
          <cell r="D9">
            <v>410</v>
          </cell>
          <cell r="E9">
            <v>72</v>
          </cell>
          <cell r="F9">
            <v>63</v>
          </cell>
          <cell r="G9">
            <v>9</v>
          </cell>
          <cell r="H9">
            <v>300</v>
          </cell>
          <cell r="I9">
            <v>299</v>
          </cell>
          <cell r="J9">
            <v>1</v>
          </cell>
          <cell r="K9">
            <v>97.311827956989248</v>
          </cell>
          <cell r="L9">
            <v>4.8655913978494629</v>
          </cell>
        </row>
        <row r="10">
          <cell r="B10" t="str">
            <v>Gudipala</v>
          </cell>
          <cell r="C10">
            <v>251</v>
          </cell>
          <cell r="D10">
            <v>316</v>
          </cell>
          <cell r="E10">
            <v>28</v>
          </cell>
          <cell r="F10">
            <v>24</v>
          </cell>
          <cell r="G10">
            <v>4</v>
          </cell>
          <cell r="H10">
            <v>223</v>
          </cell>
          <cell r="I10">
            <v>219</v>
          </cell>
          <cell r="J10">
            <v>4</v>
          </cell>
          <cell r="K10">
            <v>96.812749003984067</v>
          </cell>
          <cell r="L10">
            <v>4.8406374501992033</v>
          </cell>
        </row>
        <row r="11">
          <cell r="B11" t="str">
            <v>Vijayapuram</v>
          </cell>
          <cell r="C11">
            <v>142</v>
          </cell>
          <cell r="D11">
            <v>145</v>
          </cell>
          <cell r="E11">
            <v>80</v>
          </cell>
          <cell r="F11">
            <v>74</v>
          </cell>
          <cell r="G11">
            <v>6</v>
          </cell>
          <cell r="H11">
            <v>62</v>
          </cell>
          <cell r="I11">
            <v>62</v>
          </cell>
          <cell r="J11">
            <v>0</v>
          </cell>
          <cell r="K11">
            <v>95.774647887323937</v>
          </cell>
          <cell r="L11">
            <v>4.788732394366197</v>
          </cell>
        </row>
        <row r="12">
          <cell r="B12" t="str">
            <v>Ramakuppam</v>
          </cell>
          <cell r="C12">
            <v>285</v>
          </cell>
          <cell r="D12">
            <v>365</v>
          </cell>
          <cell r="E12">
            <v>21</v>
          </cell>
          <cell r="F12">
            <v>19</v>
          </cell>
          <cell r="G12">
            <v>2</v>
          </cell>
          <cell r="H12">
            <v>264</v>
          </cell>
          <cell r="I12">
            <v>253</v>
          </cell>
          <cell r="J12">
            <v>11</v>
          </cell>
          <cell r="K12">
            <v>95.438596491228068</v>
          </cell>
          <cell r="L12">
            <v>4.7719298245614032</v>
          </cell>
        </row>
        <row r="13">
          <cell r="B13" t="str">
            <v>Kanipakam</v>
          </cell>
          <cell r="C13">
            <v>121</v>
          </cell>
          <cell r="D13">
            <v>148</v>
          </cell>
          <cell r="E13">
            <v>17</v>
          </cell>
          <cell r="F13">
            <v>12</v>
          </cell>
          <cell r="G13">
            <v>5</v>
          </cell>
          <cell r="H13">
            <v>104</v>
          </cell>
          <cell r="I13">
            <v>103</v>
          </cell>
          <cell r="J13">
            <v>1</v>
          </cell>
          <cell r="K13">
            <v>95.04132231404958</v>
          </cell>
          <cell r="L13">
            <v>4.7520661157024788</v>
          </cell>
        </row>
        <row r="14">
          <cell r="B14" t="str">
            <v>Narsingarayanipet(N.R.Pet)</v>
          </cell>
          <cell r="C14">
            <v>103</v>
          </cell>
          <cell r="D14">
            <v>117</v>
          </cell>
          <cell r="E14">
            <v>12</v>
          </cell>
          <cell r="F14">
            <v>9</v>
          </cell>
          <cell r="G14">
            <v>3</v>
          </cell>
          <cell r="H14">
            <v>91</v>
          </cell>
          <cell r="I14">
            <v>81</v>
          </cell>
          <cell r="J14">
            <v>10</v>
          </cell>
          <cell r="K14">
            <v>87.378640776699029</v>
          </cell>
          <cell r="L14">
            <v>4.3689320388349513</v>
          </cell>
        </row>
        <row r="15">
          <cell r="B15" t="str">
            <v>Thavanampalle</v>
          </cell>
          <cell r="C15">
            <v>197</v>
          </cell>
          <cell r="D15">
            <v>392</v>
          </cell>
          <cell r="E15">
            <v>33</v>
          </cell>
          <cell r="F15">
            <v>22</v>
          </cell>
          <cell r="G15">
            <v>11</v>
          </cell>
          <cell r="H15">
            <v>164</v>
          </cell>
          <cell r="I15">
            <v>143</v>
          </cell>
          <cell r="J15">
            <v>21</v>
          </cell>
          <cell r="K15">
            <v>83.756345177664969</v>
          </cell>
          <cell r="L15">
            <v>4.187817258883249</v>
          </cell>
        </row>
        <row r="16">
          <cell r="B16" t="str">
            <v>K. Nagar</v>
          </cell>
          <cell r="C16">
            <v>270</v>
          </cell>
          <cell r="D16">
            <v>225</v>
          </cell>
          <cell r="E16">
            <v>45</v>
          </cell>
          <cell r="F16">
            <v>43</v>
          </cell>
          <cell r="G16">
            <v>2</v>
          </cell>
          <cell r="H16">
            <v>225</v>
          </cell>
          <cell r="I16">
            <v>170</v>
          </cell>
          <cell r="J16">
            <v>55</v>
          </cell>
          <cell r="K16">
            <v>78.888888888888886</v>
          </cell>
          <cell r="L16">
            <v>3.9444444444444446</v>
          </cell>
        </row>
        <row r="17">
          <cell r="B17" t="str">
            <v>Palasamudram</v>
          </cell>
          <cell r="C17">
            <v>122</v>
          </cell>
          <cell r="D17">
            <v>104</v>
          </cell>
          <cell r="E17">
            <v>9</v>
          </cell>
          <cell r="F17">
            <v>8</v>
          </cell>
          <cell r="G17">
            <v>1</v>
          </cell>
          <cell r="H17">
            <v>113</v>
          </cell>
          <cell r="I17">
            <v>87</v>
          </cell>
          <cell r="J17">
            <v>26</v>
          </cell>
          <cell r="K17">
            <v>77.868852459016395</v>
          </cell>
          <cell r="L17">
            <v>3.8934426229508201</v>
          </cell>
        </row>
        <row r="18">
          <cell r="B18" t="str">
            <v>Nindra</v>
          </cell>
          <cell r="C18">
            <v>139</v>
          </cell>
          <cell r="D18">
            <v>112</v>
          </cell>
          <cell r="E18">
            <v>49</v>
          </cell>
          <cell r="F18">
            <v>47</v>
          </cell>
          <cell r="G18">
            <v>2</v>
          </cell>
          <cell r="H18">
            <v>90</v>
          </cell>
          <cell r="I18">
            <v>59</v>
          </cell>
          <cell r="J18">
            <v>31</v>
          </cell>
          <cell r="K18">
            <v>76.258992805755398</v>
          </cell>
          <cell r="L18">
            <v>3.8129496402877701</v>
          </cell>
        </row>
        <row r="19">
          <cell r="B19" t="str">
            <v>G.D.Nellore UPS</v>
          </cell>
          <cell r="C19">
            <v>308</v>
          </cell>
          <cell r="D19">
            <v>363</v>
          </cell>
          <cell r="E19">
            <v>69</v>
          </cell>
          <cell r="F19">
            <v>54</v>
          </cell>
          <cell r="G19">
            <v>15</v>
          </cell>
          <cell r="H19">
            <v>239</v>
          </cell>
          <cell r="I19">
            <v>171</v>
          </cell>
          <cell r="J19">
            <v>68</v>
          </cell>
          <cell r="K19">
            <v>73.051948051948045</v>
          </cell>
          <cell r="L19">
            <v>3.6525974025974026</v>
          </cell>
        </row>
        <row r="20">
          <cell r="B20" t="str">
            <v>Irala</v>
          </cell>
          <cell r="C20">
            <v>147</v>
          </cell>
          <cell r="D20">
            <v>137</v>
          </cell>
          <cell r="E20">
            <v>23</v>
          </cell>
          <cell r="F20">
            <v>14</v>
          </cell>
          <cell r="G20">
            <v>9</v>
          </cell>
          <cell r="H20">
            <v>124</v>
          </cell>
          <cell r="I20">
            <v>91</v>
          </cell>
          <cell r="J20">
            <v>33</v>
          </cell>
          <cell r="K20">
            <v>71.428571428571431</v>
          </cell>
          <cell r="L20">
            <v>3.5714285714285716</v>
          </cell>
        </row>
        <row r="21">
          <cell r="B21" t="str">
            <v>Rompicherla</v>
          </cell>
          <cell r="C21">
            <v>97</v>
          </cell>
          <cell r="D21">
            <v>69</v>
          </cell>
          <cell r="E21">
            <v>21</v>
          </cell>
          <cell r="F21">
            <v>17</v>
          </cell>
          <cell r="G21">
            <v>4</v>
          </cell>
          <cell r="H21">
            <v>76</v>
          </cell>
          <cell r="I21">
            <v>41</v>
          </cell>
          <cell r="J21">
            <v>35</v>
          </cell>
          <cell r="K21">
            <v>59.793814432989691</v>
          </cell>
          <cell r="L21">
            <v>2.9896907216494846</v>
          </cell>
        </row>
        <row r="22">
          <cell r="B22" t="str">
            <v>Chittoor II Town UPS</v>
          </cell>
          <cell r="C22">
            <v>348</v>
          </cell>
          <cell r="D22">
            <v>428</v>
          </cell>
          <cell r="E22">
            <v>61</v>
          </cell>
          <cell r="F22">
            <v>50</v>
          </cell>
          <cell r="G22">
            <v>11</v>
          </cell>
          <cell r="H22">
            <v>287</v>
          </cell>
          <cell r="I22">
            <v>154</v>
          </cell>
          <cell r="J22">
            <v>133</v>
          </cell>
          <cell r="K22">
            <v>58.620689655172413</v>
          </cell>
          <cell r="L22">
            <v>2.931034482758621</v>
          </cell>
        </row>
        <row r="23">
          <cell r="B23" t="str">
            <v>Chittoor Taluk PS</v>
          </cell>
          <cell r="C23">
            <v>261</v>
          </cell>
          <cell r="D23">
            <v>341</v>
          </cell>
          <cell r="E23">
            <v>53</v>
          </cell>
          <cell r="F23">
            <v>26</v>
          </cell>
          <cell r="G23">
            <v>27</v>
          </cell>
          <cell r="H23">
            <v>208</v>
          </cell>
          <cell r="I23">
            <v>127</v>
          </cell>
          <cell r="J23">
            <v>81</v>
          </cell>
          <cell r="K23">
            <v>58.620689655172413</v>
          </cell>
          <cell r="L23">
            <v>2.931034482758621</v>
          </cell>
        </row>
        <row r="24">
          <cell r="B24" t="str">
            <v>Vedurukuppam</v>
          </cell>
          <cell r="C24">
            <v>312</v>
          </cell>
          <cell r="D24">
            <v>212</v>
          </cell>
          <cell r="E24">
            <v>111</v>
          </cell>
          <cell r="F24">
            <v>100</v>
          </cell>
          <cell r="G24">
            <v>11</v>
          </cell>
          <cell r="H24">
            <v>201</v>
          </cell>
          <cell r="I24">
            <v>77</v>
          </cell>
          <cell r="J24">
            <v>124</v>
          </cell>
          <cell r="K24">
            <v>56.730769230769234</v>
          </cell>
          <cell r="L24">
            <v>2.8365384615384617</v>
          </cell>
        </row>
        <row r="25">
          <cell r="B25" t="str">
            <v>Kallur</v>
          </cell>
          <cell r="C25">
            <v>219</v>
          </cell>
          <cell r="D25">
            <v>188</v>
          </cell>
          <cell r="E25">
            <v>35</v>
          </cell>
          <cell r="F25">
            <v>20</v>
          </cell>
          <cell r="G25">
            <v>15</v>
          </cell>
          <cell r="H25">
            <v>184</v>
          </cell>
          <cell r="I25">
            <v>101</v>
          </cell>
          <cell r="J25">
            <v>83</v>
          </cell>
          <cell r="K25">
            <v>55.251141552511413</v>
          </cell>
          <cell r="L25">
            <v>2.762557077625571</v>
          </cell>
        </row>
        <row r="26">
          <cell r="B26" t="str">
            <v>CCS Chittoor UPS</v>
          </cell>
          <cell r="C26">
            <v>4</v>
          </cell>
          <cell r="D26">
            <v>4</v>
          </cell>
          <cell r="E26">
            <v>3</v>
          </cell>
          <cell r="F26">
            <v>2</v>
          </cell>
          <cell r="G26">
            <v>1</v>
          </cell>
          <cell r="H26">
            <v>1</v>
          </cell>
          <cell r="I26">
            <v>0</v>
          </cell>
          <cell r="J26">
            <v>1</v>
          </cell>
          <cell r="K26">
            <v>50</v>
          </cell>
          <cell r="L26">
            <v>2.5</v>
          </cell>
        </row>
        <row r="27">
          <cell r="B27" t="str">
            <v>Palamaner UPS</v>
          </cell>
          <cell r="C27">
            <v>560</v>
          </cell>
          <cell r="D27">
            <v>388</v>
          </cell>
          <cell r="E27">
            <v>80</v>
          </cell>
          <cell r="F27">
            <v>63</v>
          </cell>
          <cell r="G27">
            <v>17</v>
          </cell>
          <cell r="H27">
            <v>480</v>
          </cell>
          <cell r="I27">
            <v>201</v>
          </cell>
          <cell r="J27">
            <v>279</v>
          </cell>
          <cell r="K27">
            <v>47.142857142857146</v>
          </cell>
          <cell r="L27">
            <v>2.3571428571428572</v>
          </cell>
        </row>
        <row r="28">
          <cell r="B28" t="str">
            <v>Kuppam UPS</v>
          </cell>
          <cell r="C28">
            <v>628</v>
          </cell>
          <cell r="D28">
            <v>385</v>
          </cell>
          <cell r="E28">
            <v>143</v>
          </cell>
          <cell r="F28">
            <v>107</v>
          </cell>
          <cell r="G28">
            <v>36</v>
          </cell>
          <cell r="H28">
            <v>485</v>
          </cell>
          <cell r="I28">
            <v>181</v>
          </cell>
          <cell r="J28">
            <v>304</v>
          </cell>
          <cell r="K28">
            <v>45.859872611464965</v>
          </cell>
          <cell r="L28">
            <v>2.2929936305732483</v>
          </cell>
        </row>
        <row r="29">
          <cell r="B29" t="str">
            <v>V.Kota UPS</v>
          </cell>
          <cell r="C29">
            <v>413</v>
          </cell>
          <cell r="D29">
            <v>250</v>
          </cell>
          <cell r="E29">
            <v>90</v>
          </cell>
          <cell r="F29">
            <v>75</v>
          </cell>
          <cell r="G29">
            <v>15</v>
          </cell>
          <cell r="H29">
            <v>323</v>
          </cell>
          <cell r="I29">
            <v>110</v>
          </cell>
          <cell r="J29">
            <v>213</v>
          </cell>
          <cell r="K29">
            <v>44.794188861985475</v>
          </cell>
          <cell r="L29">
            <v>2.2397094430992737</v>
          </cell>
        </row>
        <row r="30">
          <cell r="B30" t="str">
            <v>Bangarupalem UPS</v>
          </cell>
          <cell r="C30">
            <v>459</v>
          </cell>
          <cell r="D30">
            <v>279</v>
          </cell>
          <cell r="E30">
            <v>38</v>
          </cell>
          <cell r="F30">
            <v>27</v>
          </cell>
          <cell r="G30">
            <v>11</v>
          </cell>
          <cell r="H30">
            <v>421</v>
          </cell>
          <cell r="I30">
            <v>167</v>
          </cell>
          <cell r="J30">
            <v>254</v>
          </cell>
          <cell r="K30">
            <v>42.265795206971674</v>
          </cell>
          <cell r="L30">
            <v>2.1132897603485836</v>
          </cell>
        </row>
        <row r="31">
          <cell r="B31" t="str">
            <v>S.R.Puram</v>
          </cell>
          <cell r="C31">
            <v>251</v>
          </cell>
          <cell r="D31">
            <v>135</v>
          </cell>
          <cell r="E31">
            <v>74</v>
          </cell>
          <cell r="F31">
            <v>60</v>
          </cell>
          <cell r="G31">
            <v>14</v>
          </cell>
          <cell r="H31">
            <v>177</v>
          </cell>
          <cell r="I31">
            <v>44</v>
          </cell>
          <cell r="J31">
            <v>133</v>
          </cell>
          <cell r="K31">
            <v>41.43426294820717</v>
          </cell>
          <cell r="L31">
            <v>2.0717131474103585</v>
          </cell>
        </row>
        <row r="32">
          <cell r="B32" t="str">
            <v>Panjani</v>
          </cell>
          <cell r="C32">
            <v>312</v>
          </cell>
          <cell r="D32">
            <v>227</v>
          </cell>
          <cell r="E32">
            <v>30</v>
          </cell>
          <cell r="F32">
            <v>24</v>
          </cell>
          <cell r="G32">
            <v>6</v>
          </cell>
          <cell r="H32">
            <v>282</v>
          </cell>
          <cell r="I32">
            <v>99</v>
          </cell>
          <cell r="J32">
            <v>183</v>
          </cell>
          <cell r="K32">
            <v>39.42307692307692</v>
          </cell>
          <cell r="L32">
            <v>1.971153846153846</v>
          </cell>
        </row>
        <row r="33">
          <cell r="B33" t="str">
            <v>Chittoor I Town UPS</v>
          </cell>
          <cell r="C33">
            <v>328</v>
          </cell>
          <cell r="D33">
            <v>365</v>
          </cell>
          <cell r="E33">
            <v>83</v>
          </cell>
          <cell r="F33">
            <v>62</v>
          </cell>
          <cell r="G33">
            <v>21</v>
          </cell>
          <cell r="H33">
            <v>245</v>
          </cell>
          <cell r="I33">
            <v>63</v>
          </cell>
          <cell r="J33">
            <v>182</v>
          </cell>
          <cell r="K33">
            <v>38.109756097560975</v>
          </cell>
          <cell r="L33">
            <v>1.9054878048780488</v>
          </cell>
        </row>
        <row r="34">
          <cell r="B34" t="str">
            <v>Baireddypalle</v>
          </cell>
          <cell r="C34">
            <v>248</v>
          </cell>
          <cell r="D34">
            <v>93</v>
          </cell>
          <cell r="E34">
            <v>34</v>
          </cell>
          <cell r="F34">
            <v>25</v>
          </cell>
          <cell r="G34">
            <v>9</v>
          </cell>
          <cell r="H34">
            <v>214</v>
          </cell>
          <cell r="I34">
            <v>49</v>
          </cell>
          <cell r="J34">
            <v>165</v>
          </cell>
          <cell r="K34">
            <v>29.838709677419356</v>
          </cell>
          <cell r="L34">
            <v>1.491935483870968</v>
          </cell>
        </row>
        <row r="35">
          <cell r="B35" t="str">
            <v>Chittoor Traffic UPS</v>
          </cell>
          <cell r="C35">
            <v>118</v>
          </cell>
          <cell r="D35">
            <v>73</v>
          </cell>
          <cell r="E35">
            <v>16</v>
          </cell>
          <cell r="F35">
            <v>16</v>
          </cell>
          <cell r="G35">
            <v>0</v>
          </cell>
          <cell r="H35">
            <v>102</v>
          </cell>
          <cell r="I35">
            <v>18</v>
          </cell>
          <cell r="J35">
            <v>84</v>
          </cell>
          <cell r="K35">
            <v>28.8135593220339</v>
          </cell>
          <cell r="L35">
            <v>1.4406779661016951</v>
          </cell>
        </row>
        <row r="36">
          <cell r="B36" t="str">
            <v>Gangavaram UPS</v>
          </cell>
          <cell r="C36">
            <v>424</v>
          </cell>
          <cell r="D36">
            <v>173</v>
          </cell>
          <cell r="E36">
            <v>34</v>
          </cell>
          <cell r="F36">
            <v>21</v>
          </cell>
          <cell r="G36">
            <v>13</v>
          </cell>
          <cell r="H36">
            <v>390</v>
          </cell>
          <cell r="I36">
            <v>67</v>
          </cell>
          <cell r="J36">
            <v>323</v>
          </cell>
          <cell r="K36">
            <v>20.754716981132077</v>
          </cell>
          <cell r="L36">
            <v>1.037735849056604</v>
          </cell>
        </row>
        <row r="37">
          <cell r="B37" t="str">
            <v>Mahila UPS, Chittoor</v>
          </cell>
          <cell r="C37">
            <v>102</v>
          </cell>
          <cell r="D37">
            <v>17</v>
          </cell>
          <cell r="E37">
            <v>5</v>
          </cell>
          <cell r="F37">
            <v>1</v>
          </cell>
          <cell r="G37">
            <v>4</v>
          </cell>
          <cell r="H37">
            <v>97</v>
          </cell>
          <cell r="I37">
            <v>10</v>
          </cell>
          <cell r="J37">
            <v>87</v>
          </cell>
          <cell r="K37">
            <v>10.784313725490197</v>
          </cell>
          <cell r="L37">
            <v>0.53921568627450989</v>
          </cell>
        </row>
        <row r="38">
          <cell r="C38">
            <v>8765</v>
          </cell>
          <cell r="D38">
            <v>8057</v>
          </cell>
          <cell r="E38">
            <v>1494</v>
          </cell>
          <cell r="F38">
            <v>1204</v>
          </cell>
          <cell r="G38">
            <v>290</v>
          </cell>
          <cell r="H38">
            <v>7271</v>
          </cell>
          <cell r="I38">
            <v>4345</v>
          </cell>
          <cell r="J38">
            <v>2926</v>
          </cell>
          <cell r="K38">
            <v>63.308613804905875</v>
          </cell>
          <cell r="L38">
            <v>3.165430690245294</v>
          </cell>
        </row>
      </sheetData>
      <sheetData sheetId="14">
        <row r="2">
          <cell r="B2" t="str">
            <v>PS Name</v>
          </cell>
          <cell r="C2" t="str">
            <v>CRIMAC PS Name</v>
          </cell>
          <cell r="D2" t="str">
            <v xml:space="preserve">Total FIRS 
Registered </v>
          </cell>
          <cell r="E2" t="str">
            <v>Total no. of Alerts</v>
          </cell>
          <cell r="F2" t="str">
            <v>Raw Value</v>
          </cell>
          <cell r="G2" t="str">
            <v>Marks</v>
          </cell>
        </row>
        <row r="3">
          <cell r="B3" t="str">
            <v>Baireddypalle</v>
          </cell>
          <cell r="C3" t="str">
            <v>Baireddypalle</v>
          </cell>
          <cell r="D3">
            <v>1</v>
          </cell>
          <cell r="E3">
            <v>78</v>
          </cell>
          <cell r="F3">
            <v>100</v>
          </cell>
          <cell r="G3">
            <v>5</v>
          </cell>
        </row>
        <row r="4">
          <cell r="B4" t="str">
            <v>Bangarupalem UPS</v>
          </cell>
          <cell r="C4" t="str">
            <v>BANGARUPALEM</v>
          </cell>
          <cell r="D4">
            <v>5</v>
          </cell>
          <cell r="E4">
            <v>76</v>
          </cell>
          <cell r="F4">
            <v>100</v>
          </cell>
          <cell r="G4">
            <v>5</v>
          </cell>
        </row>
        <row r="5">
          <cell r="B5" t="str">
            <v>CCS Chittoor UPS</v>
          </cell>
          <cell r="C5" t="str">
            <v>CCS, Chittoor</v>
          </cell>
          <cell r="D5">
            <v>0</v>
          </cell>
          <cell r="E5">
            <v>16</v>
          </cell>
          <cell r="F5">
            <v>100</v>
          </cell>
          <cell r="G5">
            <v>5</v>
          </cell>
        </row>
        <row r="6">
          <cell r="B6" t="str">
            <v>Chittoor I Town UPS</v>
          </cell>
          <cell r="C6" t="str">
            <v>CHITTOOR I TOWN</v>
          </cell>
          <cell r="D6">
            <v>3</v>
          </cell>
          <cell r="E6">
            <v>10</v>
          </cell>
          <cell r="F6">
            <v>100</v>
          </cell>
          <cell r="G6">
            <v>5</v>
          </cell>
        </row>
        <row r="7">
          <cell r="B7" t="str">
            <v>Chittoor II Town UPS</v>
          </cell>
          <cell r="C7" t="str">
            <v>CHITTOOR II TOWN</v>
          </cell>
          <cell r="D7">
            <v>5</v>
          </cell>
          <cell r="E7">
            <v>28</v>
          </cell>
          <cell r="F7">
            <v>100</v>
          </cell>
          <cell r="G7">
            <v>5</v>
          </cell>
        </row>
        <row r="8">
          <cell r="B8" t="str">
            <v>Chittoor Taluk PS</v>
          </cell>
          <cell r="C8" t="str">
            <v>Chittoor Taluk</v>
          </cell>
          <cell r="D8">
            <v>0</v>
          </cell>
          <cell r="E8">
            <v>63</v>
          </cell>
          <cell r="F8">
            <v>100</v>
          </cell>
          <cell r="G8">
            <v>5</v>
          </cell>
        </row>
        <row r="9">
          <cell r="B9" t="str">
            <v>Chittoor Traffic UPS</v>
          </cell>
          <cell r="C9" t="str">
            <v>CHITTOOR TRAFFIC</v>
          </cell>
          <cell r="D9">
            <v>1</v>
          </cell>
          <cell r="E9">
            <v>18</v>
          </cell>
          <cell r="F9">
            <v>100</v>
          </cell>
          <cell r="G9">
            <v>5</v>
          </cell>
        </row>
        <row r="10">
          <cell r="B10" t="str">
            <v>G.D.Nellore UPS</v>
          </cell>
          <cell r="C10" t="str">
            <v>Gangadhara Nellore</v>
          </cell>
          <cell r="D10">
            <v>1</v>
          </cell>
          <cell r="E10">
            <v>18</v>
          </cell>
          <cell r="F10">
            <v>100</v>
          </cell>
          <cell r="G10">
            <v>5</v>
          </cell>
        </row>
        <row r="11">
          <cell r="B11" t="str">
            <v>Gangavaram UPS</v>
          </cell>
          <cell r="C11" t="str">
            <v>GANGAVARAM</v>
          </cell>
          <cell r="D11">
            <v>3</v>
          </cell>
          <cell r="E11">
            <v>124</v>
          </cell>
          <cell r="F11">
            <v>100</v>
          </cell>
          <cell r="G11">
            <v>5</v>
          </cell>
        </row>
        <row r="12">
          <cell r="B12" t="str">
            <v>Gudipala</v>
          </cell>
          <cell r="C12" t="str">
            <v>GUDIPALA</v>
          </cell>
          <cell r="D12">
            <v>1</v>
          </cell>
          <cell r="E12">
            <v>111</v>
          </cell>
          <cell r="F12">
            <v>100</v>
          </cell>
          <cell r="G12">
            <v>5</v>
          </cell>
        </row>
        <row r="13">
          <cell r="B13" t="str">
            <v>Gudipalli</v>
          </cell>
          <cell r="C13" t="str">
            <v>Gudipalli</v>
          </cell>
          <cell r="D13">
            <v>4</v>
          </cell>
          <cell r="E13">
            <v>12</v>
          </cell>
          <cell r="F13">
            <v>100</v>
          </cell>
          <cell r="G13">
            <v>5</v>
          </cell>
        </row>
        <row r="14">
          <cell r="B14" t="str">
            <v>Irala</v>
          </cell>
          <cell r="C14" t="str">
            <v>IRALA</v>
          </cell>
          <cell r="D14">
            <v>3</v>
          </cell>
          <cell r="E14">
            <v>37</v>
          </cell>
          <cell r="F14">
            <v>100</v>
          </cell>
          <cell r="G14">
            <v>5</v>
          </cell>
        </row>
        <row r="15">
          <cell r="B15" t="str">
            <v>K. Nagar</v>
          </cell>
          <cell r="C15" t="str">
            <v>K. Nagar</v>
          </cell>
          <cell r="D15">
            <v>1</v>
          </cell>
          <cell r="E15">
            <v>64</v>
          </cell>
          <cell r="F15">
            <v>100</v>
          </cell>
          <cell r="G15">
            <v>5</v>
          </cell>
        </row>
        <row r="16">
          <cell r="B16" t="str">
            <v>Kallur</v>
          </cell>
          <cell r="C16" t="str">
            <v>KALLUR</v>
          </cell>
          <cell r="D16">
            <v>1</v>
          </cell>
          <cell r="E16">
            <v>41</v>
          </cell>
          <cell r="F16">
            <v>100</v>
          </cell>
          <cell r="G16">
            <v>5</v>
          </cell>
        </row>
        <row r="17">
          <cell r="B17" t="str">
            <v>Kanipakam</v>
          </cell>
          <cell r="C17" t="str">
            <v>Kanipakam</v>
          </cell>
          <cell r="D17">
            <v>2</v>
          </cell>
          <cell r="E17">
            <v>36</v>
          </cell>
          <cell r="F17">
            <v>100</v>
          </cell>
          <cell r="G17">
            <v>5</v>
          </cell>
        </row>
        <row r="18">
          <cell r="B18" t="str">
            <v>Kuppam UPS</v>
          </cell>
          <cell r="C18" t="str">
            <v>KUPPAM</v>
          </cell>
          <cell r="D18">
            <v>8</v>
          </cell>
          <cell r="E18">
            <v>49</v>
          </cell>
          <cell r="F18">
            <v>100</v>
          </cell>
          <cell r="G18">
            <v>5</v>
          </cell>
        </row>
        <row r="19">
          <cell r="B19" t="str">
            <v>Mahila UPS, Chittoor</v>
          </cell>
          <cell r="C19" t="str">
            <v>Mahila UPS, Chittoor</v>
          </cell>
          <cell r="D19">
            <v>0</v>
          </cell>
          <cell r="E19">
            <v>36</v>
          </cell>
          <cell r="F19">
            <v>100</v>
          </cell>
          <cell r="G19">
            <v>5</v>
          </cell>
        </row>
        <row r="20">
          <cell r="B20" t="str">
            <v>Nagari UPS</v>
          </cell>
          <cell r="C20" t="str">
            <v>NAGARI</v>
          </cell>
          <cell r="D20">
            <v>4</v>
          </cell>
          <cell r="E20">
            <v>22</v>
          </cell>
          <cell r="F20">
            <v>100</v>
          </cell>
          <cell r="G20">
            <v>5</v>
          </cell>
        </row>
        <row r="21">
          <cell r="B21" t="str">
            <v>Narsingarayanipet(N.R.Pet)</v>
          </cell>
          <cell r="C21" t="str">
            <v>Narsingarayanipet(N.R.Pet)</v>
          </cell>
          <cell r="D21">
            <v>1</v>
          </cell>
          <cell r="E21">
            <v>48</v>
          </cell>
          <cell r="F21">
            <v>100</v>
          </cell>
          <cell r="G21">
            <v>5</v>
          </cell>
        </row>
        <row r="22">
          <cell r="B22" t="str">
            <v>Nindra</v>
          </cell>
          <cell r="C22" t="str">
            <v>NINDRA</v>
          </cell>
          <cell r="D22">
            <v>1</v>
          </cell>
          <cell r="E22">
            <v>70</v>
          </cell>
          <cell r="F22">
            <v>100</v>
          </cell>
          <cell r="G22">
            <v>5</v>
          </cell>
        </row>
        <row r="23">
          <cell r="B23" t="str">
            <v>Palamaner UPS</v>
          </cell>
          <cell r="C23" t="str">
            <v>PALAMANER</v>
          </cell>
          <cell r="D23">
            <v>2</v>
          </cell>
          <cell r="E23">
            <v>266</v>
          </cell>
          <cell r="F23">
            <v>100</v>
          </cell>
          <cell r="G23">
            <v>5</v>
          </cell>
        </row>
        <row r="24">
          <cell r="B24" t="str">
            <v>Palasamudram</v>
          </cell>
          <cell r="C24" t="str">
            <v>PALASAMUDRAM</v>
          </cell>
          <cell r="D24">
            <v>0</v>
          </cell>
          <cell r="E24">
            <v>57</v>
          </cell>
          <cell r="F24">
            <v>100</v>
          </cell>
          <cell r="G24">
            <v>5</v>
          </cell>
        </row>
        <row r="25">
          <cell r="B25" t="str">
            <v>Panjani</v>
          </cell>
          <cell r="C25" t="str">
            <v>PANJANI</v>
          </cell>
          <cell r="D25">
            <v>1</v>
          </cell>
          <cell r="E25">
            <v>55</v>
          </cell>
          <cell r="F25">
            <v>100</v>
          </cell>
          <cell r="G25">
            <v>5</v>
          </cell>
        </row>
        <row r="26">
          <cell r="B26" t="str">
            <v>Penumur</v>
          </cell>
          <cell r="C26" t="str">
            <v>Penumur</v>
          </cell>
          <cell r="D26">
            <v>0</v>
          </cell>
          <cell r="E26">
            <v>58</v>
          </cell>
          <cell r="F26">
            <v>100</v>
          </cell>
          <cell r="G26">
            <v>5</v>
          </cell>
        </row>
        <row r="27">
          <cell r="B27" t="str">
            <v>Puthalapattu UPS</v>
          </cell>
          <cell r="C27" t="str">
            <v>PUTHALAPATTU</v>
          </cell>
          <cell r="D27">
            <v>2</v>
          </cell>
          <cell r="E27">
            <v>125</v>
          </cell>
          <cell r="F27">
            <v>100</v>
          </cell>
          <cell r="G27">
            <v>5</v>
          </cell>
        </row>
        <row r="28">
          <cell r="B28" t="str">
            <v>Rallabudugur</v>
          </cell>
          <cell r="C28" t="str">
            <v>RALLABUDUGUR</v>
          </cell>
          <cell r="D28">
            <v>2</v>
          </cell>
          <cell r="E28">
            <v>78</v>
          </cell>
          <cell r="F28">
            <v>100</v>
          </cell>
          <cell r="G28">
            <v>5</v>
          </cell>
        </row>
        <row r="29">
          <cell r="B29" t="str">
            <v>Ramakuppam</v>
          </cell>
          <cell r="C29" t="str">
            <v>RAMAKUPPAM</v>
          </cell>
          <cell r="D29">
            <v>1</v>
          </cell>
          <cell r="E29">
            <v>90</v>
          </cell>
          <cell r="F29">
            <v>100</v>
          </cell>
          <cell r="G29">
            <v>5</v>
          </cell>
        </row>
        <row r="30">
          <cell r="B30" t="str">
            <v>Rompicherla</v>
          </cell>
          <cell r="C30" t="str">
            <v>ROMPICHERLA</v>
          </cell>
          <cell r="D30">
            <v>0</v>
          </cell>
          <cell r="E30">
            <v>22</v>
          </cell>
          <cell r="F30">
            <v>100</v>
          </cell>
          <cell r="G30">
            <v>5</v>
          </cell>
        </row>
        <row r="31">
          <cell r="B31" t="str">
            <v>S.R.Puram</v>
          </cell>
          <cell r="C31" t="str">
            <v>S.R.Puram</v>
          </cell>
          <cell r="D31">
            <v>3</v>
          </cell>
          <cell r="E31">
            <v>12</v>
          </cell>
          <cell r="F31">
            <v>100</v>
          </cell>
          <cell r="G31">
            <v>5</v>
          </cell>
        </row>
        <row r="32">
          <cell r="B32" t="str">
            <v>Thavanampalle</v>
          </cell>
          <cell r="C32" t="str">
            <v>THAVANAMPALLE</v>
          </cell>
          <cell r="D32">
            <v>2</v>
          </cell>
          <cell r="E32">
            <v>48</v>
          </cell>
          <cell r="F32">
            <v>100</v>
          </cell>
          <cell r="G32">
            <v>5</v>
          </cell>
        </row>
        <row r="33">
          <cell r="B33" t="str">
            <v>V.Kota UPS</v>
          </cell>
          <cell r="C33" t="str">
            <v>V.KOTA</v>
          </cell>
          <cell r="D33">
            <v>7</v>
          </cell>
          <cell r="E33">
            <v>50</v>
          </cell>
          <cell r="F33">
            <v>100</v>
          </cell>
          <cell r="G33">
            <v>5</v>
          </cell>
        </row>
        <row r="34">
          <cell r="B34" t="str">
            <v>Vedurukuppam</v>
          </cell>
          <cell r="C34" t="str">
            <v>VEDURUKUPPAM</v>
          </cell>
          <cell r="D34">
            <v>2</v>
          </cell>
          <cell r="E34">
            <v>45</v>
          </cell>
          <cell r="F34">
            <v>100</v>
          </cell>
          <cell r="G34">
            <v>5</v>
          </cell>
        </row>
        <row r="35">
          <cell r="B35" t="str">
            <v>Vijayapuram</v>
          </cell>
          <cell r="C35" t="str">
            <v>VIJAYAPURAM</v>
          </cell>
          <cell r="D35">
            <v>1</v>
          </cell>
          <cell r="E35">
            <v>95</v>
          </cell>
          <cell r="F35">
            <v>100</v>
          </cell>
          <cell r="G35">
            <v>5</v>
          </cell>
        </row>
        <row r="36">
          <cell r="B36" t="str">
            <v>Yadamari</v>
          </cell>
          <cell r="C36" t="str">
            <v>YADAMARI</v>
          </cell>
          <cell r="D36">
            <v>2</v>
          </cell>
          <cell r="E36">
            <v>35</v>
          </cell>
          <cell r="F36">
            <v>100</v>
          </cell>
          <cell r="G36">
            <v>5</v>
          </cell>
        </row>
        <row r="37">
          <cell r="D37">
            <v>70</v>
          </cell>
          <cell r="E37">
            <v>1993</v>
          </cell>
          <cell r="F37">
            <v>100</v>
          </cell>
          <cell r="G37">
            <v>5</v>
          </cell>
        </row>
      </sheetData>
      <sheetData sheetId="15">
        <row r="2">
          <cell r="B2" t="str">
            <v>PS</v>
          </cell>
          <cell r="C2" t="str">
            <v>PS 2</v>
          </cell>
          <cell r="D2" t="str">
            <v>Total Block Requests Received</v>
          </cell>
          <cell r="E2" t="str">
            <v>Blocked Requests (as on report generation date)</v>
          </cell>
          <cell r="F2" t="str">
            <v>Unblocked Requests (as on report generation date)</v>
          </cell>
          <cell r="G2" t="str">
            <v>Total Traceability Generated (as on report generation date)</v>
          </cell>
          <cell r="H2" t="str">
            <v>Unrecovered Traceability Available (as on report generation date)</v>
          </cell>
          <cell r="I2" t="str">
            <v>Recovered handsets</v>
          </cell>
          <cell r="J2" t="str">
            <v>Accuracy score 
(as per recovery %)
Accuracy score = (Total Recovered handsets by PS so far x 100)/Totaltraceability generated so far
(* so far means cumulative figure at the time of computing the score)</v>
          </cell>
          <cell r="K2" t="str">
            <v>Volume Score (as per no. of handsets recovered)
Volume score = ((Total Recovered handsets so far by PS – Minimum No. of handsets recovered by any PS so far in the District) x 100)/ (Maximum No.of handsets recovered by any PS so far in the DIstrict – Minimum No. ofhandsets recovered by any PS so far in the DIstrict)</v>
          </cell>
          <cell r="L2" t="str">
            <v>Final Score 70: 30
Final score = Accuracy score * 0.7 + Volume score*0.3
(RAW VALUE)</v>
          </cell>
          <cell r="M2" t="str">
            <v>Marks</v>
          </cell>
        </row>
        <row r="3">
          <cell r="B3" t="str">
            <v>Baireddypalle</v>
          </cell>
          <cell r="C3" t="str">
            <v>BAIREDDYPALLI PS</v>
          </cell>
          <cell r="D3">
            <v>323</v>
          </cell>
          <cell r="E3">
            <v>172</v>
          </cell>
          <cell r="F3">
            <v>151</v>
          </cell>
          <cell r="G3">
            <v>142</v>
          </cell>
          <cell r="H3">
            <v>67</v>
          </cell>
          <cell r="I3">
            <v>75</v>
          </cell>
          <cell r="J3">
            <v>106.33802816901408</v>
          </cell>
          <cell r="K3">
            <v>100</v>
          </cell>
          <cell r="L3">
            <v>100</v>
          </cell>
          <cell r="M3">
            <v>5</v>
          </cell>
        </row>
        <row r="4">
          <cell r="B4" t="str">
            <v>Bangarupalem UPS</v>
          </cell>
          <cell r="C4" t="str">
            <v>BANGARUPALEM URBAN PS</v>
          </cell>
          <cell r="D4">
            <v>18</v>
          </cell>
          <cell r="E4">
            <v>10</v>
          </cell>
          <cell r="F4">
            <v>8</v>
          </cell>
          <cell r="G4">
            <v>8</v>
          </cell>
          <cell r="H4">
            <v>2</v>
          </cell>
          <cell r="I4">
            <v>6</v>
          </cell>
          <cell r="J4">
            <v>100</v>
          </cell>
          <cell r="K4">
            <v>5.4794520547945202</v>
          </cell>
          <cell r="L4">
            <v>71.643835616438352</v>
          </cell>
          <cell r="M4">
            <v>3.5821917808219177</v>
          </cell>
        </row>
        <row r="5">
          <cell r="B5" t="str">
            <v>CCS Chittoor UPS</v>
          </cell>
          <cell r="C5" t="str">
            <v>CCS CHITTOOR</v>
          </cell>
          <cell r="D5">
            <v>68</v>
          </cell>
          <cell r="E5">
            <v>38</v>
          </cell>
          <cell r="F5">
            <v>30</v>
          </cell>
          <cell r="G5">
            <v>37</v>
          </cell>
          <cell r="H5">
            <v>14</v>
          </cell>
          <cell r="I5">
            <v>23</v>
          </cell>
          <cell r="J5">
            <v>81.081081081081081</v>
          </cell>
          <cell r="K5">
            <v>28.767123287671232</v>
          </cell>
          <cell r="L5">
            <v>65.386893743058124</v>
          </cell>
          <cell r="M5">
            <v>3.2693446871529064</v>
          </cell>
        </row>
        <row r="6">
          <cell r="B6" t="str">
            <v>Chittoor I Town UPS</v>
          </cell>
          <cell r="C6" t="str">
            <v>CHITTOOR 1 TOWN  PS</v>
          </cell>
          <cell r="D6">
            <v>66</v>
          </cell>
          <cell r="E6">
            <v>42</v>
          </cell>
          <cell r="F6">
            <v>24</v>
          </cell>
          <cell r="G6">
            <v>29</v>
          </cell>
          <cell r="H6">
            <v>10</v>
          </cell>
          <cell r="I6">
            <v>19</v>
          </cell>
          <cell r="J6">
            <v>82.758620689655174</v>
          </cell>
          <cell r="K6">
            <v>23.287671232876711</v>
          </cell>
          <cell r="L6">
            <v>64.917335852621633</v>
          </cell>
          <cell r="M6">
            <v>3.245866792631082</v>
          </cell>
        </row>
        <row r="7">
          <cell r="B7" t="str">
            <v>Chittoor II Town UPS</v>
          </cell>
          <cell r="C7" t="str">
            <v>CHITTOOR 2 TOWN PS</v>
          </cell>
          <cell r="D7">
            <v>66</v>
          </cell>
          <cell r="E7">
            <v>39</v>
          </cell>
          <cell r="F7">
            <v>27</v>
          </cell>
          <cell r="G7">
            <v>36</v>
          </cell>
          <cell r="H7">
            <v>14</v>
          </cell>
          <cell r="I7">
            <v>22</v>
          </cell>
          <cell r="J7">
            <v>75</v>
          </cell>
          <cell r="K7">
            <v>27.397260273972602</v>
          </cell>
          <cell r="L7">
            <v>60.719178082191782</v>
          </cell>
          <cell r="M7">
            <v>3.0359589041095894</v>
          </cell>
        </row>
        <row r="8">
          <cell r="B8" t="str">
            <v>Chittoor Taluk PS</v>
          </cell>
          <cell r="C8" t="str">
            <v>CHITTOOR TALUK PS</v>
          </cell>
          <cell r="D8">
            <v>68</v>
          </cell>
          <cell r="E8">
            <v>43</v>
          </cell>
          <cell r="F8">
            <v>25</v>
          </cell>
          <cell r="G8">
            <v>33</v>
          </cell>
          <cell r="H8">
            <v>13</v>
          </cell>
          <cell r="I8">
            <v>20</v>
          </cell>
          <cell r="J8">
            <v>75.757575757575751</v>
          </cell>
          <cell r="K8">
            <v>24.657534246575342</v>
          </cell>
          <cell r="L8">
            <v>60.427563304275623</v>
          </cell>
          <cell r="M8">
            <v>3.0213781652137812</v>
          </cell>
        </row>
        <row r="9">
          <cell r="B9" t="str">
            <v>G.D.Nellore UPS</v>
          </cell>
          <cell r="C9" t="str">
            <v>GD NELLORE PS</v>
          </cell>
          <cell r="D9">
            <v>70</v>
          </cell>
          <cell r="E9">
            <v>45</v>
          </cell>
          <cell r="F9">
            <v>25</v>
          </cell>
          <cell r="G9">
            <v>34</v>
          </cell>
          <cell r="H9">
            <v>11</v>
          </cell>
          <cell r="I9">
            <v>23</v>
          </cell>
          <cell r="J9">
            <v>73.529411764705884</v>
          </cell>
          <cell r="K9">
            <v>28.767123287671232</v>
          </cell>
          <cell r="L9">
            <v>60.100725221595482</v>
          </cell>
          <cell r="M9">
            <v>3.0050362610797743</v>
          </cell>
        </row>
        <row r="10">
          <cell r="B10" t="str">
            <v>Gangavaram UPS</v>
          </cell>
          <cell r="C10" t="str">
            <v>GANGAVARAM PS</v>
          </cell>
          <cell r="D10">
            <v>38</v>
          </cell>
          <cell r="E10">
            <v>24</v>
          </cell>
          <cell r="F10">
            <v>14</v>
          </cell>
          <cell r="G10">
            <v>18</v>
          </cell>
          <cell r="H10">
            <v>6</v>
          </cell>
          <cell r="I10">
            <v>12</v>
          </cell>
          <cell r="J10">
            <v>77.777777777777786</v>
          </cell>
          <cell r="K10">
            <v>13.698630136986301</v>
          </cell>
          <cell r="L10">
            <v>58.554033485540337</v>
          </cell>
          <cell r="M10">
            <v>2.9277016742770172</v>
          </cell>
        </row>
        <row r="11">
          <cell r="B11" t="str">
            <v>Gudipala</v>
          </cell>
          <cell r="C11" t="str">
            <v>GUDIPALA PS</v>
          </cell>
          <cell r="D11">
            <v>458</v>
          </cell>
          <cell r="E11">
            <v>373</v>
          </cell>
          <cell r="F11">
            <v>85</v>
          </cell>
          <cell r="G11">
            <v>190</v>
          </cell>
          <cell r="H11">
            <v>126</v>
          </cell>
          <cell r="I11">
            <v>64</v>
          </cell>
          <cell r="J11">
            <v>44.736842105263158</v>
          </cell>
          <cell r="K11">
            <v>84.93150684931507</v>
          </cell>
          <cell r="L11">
            <v>56.795241528478726</v>
          </cell>
          <cell r="M11">
            <v>2.8397620764239364</v>
          </cell>
        </row>
        <row r="12">
          <cell r="B12" t="str">
            <v>Gudipalli</v>
          </cell>
          <cell r="C12" t="str">
            <v>GUDUPALLI PS</v>
          </cell>
          <cell r="D12">
            <v>22</v>
          </cell>
          <cell r="E12">
            <v>14</v>
          </cell>
          <cell r="F12">
            <v>8</v>
          </cell>
          <cell r="G12">
            <v>10</v>
          </cell>
          <cell r="H12">
            <v>8</v>
          </cell>
          <cell r="I12">
            <v>2</v>
          </cell>
          <cell r="J12">
            <v>80</v>
          </cell>
          <cell r="K12">
            <v>0</v>
          </cell>
          <cell r="L12">
            <v>56</v>
          </cell>
          <cell r="M12">
            <v>2.8000000000000003</v>
          </cell>
        </row>
        <row r="13">
          <cell r="B13" t="str">
            <v>Irala</v>
          </cell>
          <cell r="C13" t="str">
            <v>IRALA PS</v>
          </cell>
          <cell r="D13">
            <v>15</v>
          </cell>
          <cell r="E13">
            <v>8</v>
          </cell>
          <cell r="F13">
            <v>7</v>
          </cell>
          <cell r="G13">
            <v>9</v>
          </cell>
          <cell r="H13">
            <v>4</v>
          </cell>
          <cell r="I13">
            <v>5</v>
          </cell>
          <cell r="J13">
            <v>77.777777777777786</v>
          </cell>
          <cell r="K13">
            <v>4.1095890410958908</v>
          </cell>
          <cell r="L13">
            <v>55.677321156773218</v>
          </cell>
          <cell r="M13">
            <v>2.7838660578386611</v>
          </cell>
        </row>
        <row r="14">
          <cell r="B14" t="str">
            <v>K. Nagar</v>
          </cell>
          <cell r="C14" t="str">
            <v>K.NAGAR PS</v>
          </cell>
          <cell r="D14">
            <v>52</v>
          </cell>
          <cell r="E14">
            <v>30</v>
          </cell>
          <cell r="F14">
            <v>22</v>
          </cell>
          <cell r="G14">
            <v>32</v>
          </cell>
          <cell r="H14">
            <v>14</v>
          </cell>
          <cell r="I14">
            <v>18</v>
          </cell>
          <cell r="J14">
            <v>68.75</v>
          </cell>
          <cell r="K14">
            <v>21.917808219178081</v>
          </cell>
          <cell r="L14">
            <v>54.700342465753423</v>
          </cell>
          <cell r="M14">
            <v>2.7350171232876712</v>
          </cell>
        </row>
        <row r="15">
          <cell r="B15" t="str">
            <v>Kallur</v>
          </cell>
          <cell r="C15" t="str">
            <v>KALLUR PS</v>
          </cell>
          <cell r="D15">
            <v>61</v>
          </cell>
          <cell r="E15">
            <v>36</v>
          </cell>
          <cell r="F15">
            <v>25</v>
          </cell>
          <cell r="G15">
            <v>39</v>
          </cell>
          <cell r="H15">
            <v>16</v>
          </cell>
          <cell r="I15">
            <v>23</v>
          </cell>
          <cell r="J15">
            <v>64.102564102564102</v>
          </cell>
          <cell r="K15">
            <v>28.767123287671232</v>
          </cell>
          <cell r="L15">
            <v>53.501931858096242</v>
          </cell>
          <cell r="M15">
            <v>2.6750965929048123</v>
          </cell>
        </row>
        <row r="16">
          <cell r="B16" t="str">
            <v>Kanipakam</v>
          </cell>
          <cell r="C16" t="str">
            <v>KANIPAKAM PS</v>
          </cell>
          <cell r="D16">
            <v>240</v>
          </cell>
          <cell r="E16">
            <v>183</v>
          </cell>
          <cell r="F16">
            <v>57</v>
          </cell>
          <cell r="G16">
            <v>118</v>
          </cell>
          <cell r="H16">
            <v>69</v>
          </cell>
          <cell r="I16">
            <v>49</v>
          </cell>
          <cell r="J16">
            <v>48.305084745762713</v>
          </cell>
          <cell r="K16">
            <v>64.38356164383562</v>
          </cell>
          <cell r="L16">
            <v>53.128627815184586</v>
          </cell>
          <cell r="M16">
            <v>2.6564313907592294</v>
          </cell>
        </row>
        <row r="17">
          <cell r="B17" t="str">
            <v>Kuppam UPS</v>
          </cell>
          <cell r="C17" t="str">
            <v>KUPPAM URBAN PS</v>
          </cell>
          <cell r="D17">
            <v>178</v>
          </cell>
          <cell r="E17">
            <v>131</v>
          </cell>
          <cell r="F17">
            <v>47</v>
          </cell>
          <cell r="G17">
            <v>86</v>
          </cell>
          <cell r="H17">
            <v>49</v>
          </cell>
          <cell r="I17">
            <v>37</v>
          </cell>
          <cell r="J17">
            <v>54.651162790697668</v>
          </cell>
          <cell r="K17">
            <v>47.945205479452056</v>
          </cell>
          <cell r="L17">
            <v>52.639375597323976</v>
          </cell>
          <cell r="M17">
            <v>2.6319687798661988</v>
          </cell>
        </row>
        <row r="18">
          <cell r="B18" t="str">
            <v>Nagari UPS</v>
          </cell>
          <cell r="C18" t="str">
            <v>NAGARI URBAN PS</v>
          </cell>
          <cell r="D18">
            <v>67</v>
          </cell>
          <cell r="E18">
            <v>44</v>
          </cell>
          <cell r="F18">
            <v>23</v>
          </cell>
          <cell r="G18">
            <v>35</v>
          </cell>
          <cell r="H18">
            <v>17</v>
          </cell>
          <cell r="I18">
            <v>18</v>
          </cell>
          <cell r="J18">
            <v>65.714285714285708</v>
          </cell>
          <cell r="K18">
            <v>21.917808219178081</v>
          </cell>
          <cell r="L18">
            <v>52.575342465753415</v>
          </cell>
          <cell r="M18">
            <v>2.628767123287671</v>
          </cell>
        </row>
        <row r="19">
          <cell r="B19" t="str">
            <v>Narsingarayanipet(N.R.Pet)</v>
          </cell>
          <cell r="C19" t="str">
            <v>NR PETA PS</v>
          </cell>
          <cell r="D19">
            <v>22</v>
          </cell>
          <cell r="E19">
            <v>12</v>
          </cell>
          <cell r="F19">
            <v>10</v>
          </cell>
          <cell r="G19">
            <v>14</v>
          </cell>
          <cell r="H19">
            <v>6</v>
          </cell>
          <cell r="I19">
            <v>8</v>
          </cell>
          <cell r="J19">
            <v>71.428571428571431</v>
          </cell>
          <cell r="K19">
            <v>8.2191780821917817</v>
          </cell>
          <cell r="L19">
            <v>52.465753424657535</v>
          </cell>
          <cell r="M19">
            <v>2.6232876712328768</v>
          </cell>
        </row>
        <row r="20">
          <cell r="B20" t="str">
            <v>Nindra</v>
          </cell>
          <cell r="C20" t="str">
            <v>NINDRA PS</v>
          </cell>
          <cell r="D20">
            <v>67</v>
          </cell>
          <cell r="E20">
            <v>40</v>
          </cell>
          <cell r="F20">
            <v>27</v>
          </cell>
          <cell r="G20">
            <v>43</v>
          </cell>
          <cell r="H20">
            <v>27</v>
          </cell>
          <cell r="I20">
            <v>16</v>
          </cell>
          <cell r="J20">
            <v>62.790697674418603</v>
          </cell>
          <cell r="K20">
            <v>19.17808219178082</v>
          </cell>
          <cell r="L20">
            <v>49.706913029627266</v>
          </cell>
          <cell r="M20">
            <v>2.4853456514813637</v>
          </cell>
        </row>
        <row r="21">
          <cell r="B21" t="str">
            <v>Palamaner UPS</v>
          </cell>
          <cell r="C21" t="str">
            <v>PALAMANER URBAN PS</v>
          </cell>
          <cell r="D21">
            <v>67</v>
          </cell>
          <cell r="E21">
            <v>52</v>
          </cell>
          <cell r="F21">
            <v>15</v>
          </cell>
          <cell r="G21">
            <v>26</v>
          </cell>
          <cell r="H21">
            <v>15</v>
          </cell>
          <cell r="I21">
            <v>11</v>
          </cell>
          <cell r="J21">
            <v>57.692307692307686</v>
          </cell>
          <cell r="K21">
            <v>12.328767123287671</v>
          </cell>
          <cell r="L21">
            <v>44.083245521601683</v>
          </cell>
          <cell r="M21">
            <v>2.2041622760800843</v>
          </cell>
        </row>
        <row r="22">
          <cell r="B22" t="str">
            <v>Palasamudram</v>
          </cell>
          <cell r="C22" t="str">
            <v>PALASAMUDRAM PS</v>
          </cell>
          <cell r="D22">
            <v>46</v>
          </cell>
          <cell r="E22">
            <v>34</v>
          </cell>
          <cell r="F22">
            <v>12</v>
          </cell>
          <cell r="G22">
            <v>21</v>
          </cell>
          <cell r="H22">
            <v>11</v>
          </cell>
          <cell r="I22">
            <v>10</v>
          </cell>
          <cell r="J22">
            <v>57.142857142857139</v>
          </cell>
          <cell r="K22">
            <v>10.95890410958904</v>
          </cell>
          <cell r="L22">
            <v>43.287671232876704</v>
          </cell>
          <cell r="M22">
            <v>2.1643835616438354</v>
          </cell>
        </row>
        <row r="23">
          <cell r="B23" t="str">
            <v>Panjani</v>
          </cell>
          <cell r="C23" t="str">
            <v>PANJANI PS</v>
          </cell>
          <cell r="D23">
            <v>157</v>
          </cell>
          <cell r="E23">
            <v>119</v>
          </cell>
          <cell r="F23">
            <v>38</v>
          </cell>
          <cell r="G23">
            <v>88</v>
          </cell>
          <cell r="H23">
            <v>56</v>
          </cell>
          <cell r="I23">
            <v>32</v>
          </cell>
          <cell r="J23">
            <v>43.18181818181818</v>
          </cell>
          <cell r="K23">
            <v>41.095890410958901</v>
          </cell>
          <cell r="L23">
            <v>42.556039850560396</v>
          </cell>
          <cell r="M23">
            <v>2.12780199252802</v>
          </cell>
        </row>
        <row r="24">
          <cell r="B24" t="str">
            <v>Penumur</v>
          </cell>
          <cell r="C24" t="str">
            <v>PENUMUR PS</v>
          </cell>
          <cell r="D24">
            <v>37</v>
          </cell>
          <cell r="E24">
            <v>24</v>
          </cell>
          <cell r="F24">
            <v>13</v>
          </cell>
          <cell r="G24">
            <v>23</v>
          </cell>
          <cell r="H24">
            <v>17</v>
          </cell>
          <cell r="I24">
            <v>6</v>
          </cell>
          <cell r="J24">
            <v>56.521739130434781</v>
          </cell>
          <cell r="K24">
            <v>5.4794520547945202</v>
          </cell>
          <cell r="L24">
            <v>41.209053007742703</v>
          </cell>
          <cell r="M24">
            <v>2.0604526503871354</v>
          </cell>
        </row>
        <row r="25">
          <cell r="B25" t="str">
            <v>Puthalapattu UPS</v>
          </cell>
          <cell r="C25" t="str">
            <v>PUTHALAPATTU PS</v>
          </cell>
          <cell r="D25">
            <v>32</v>
          </cell>
          <cell r="E25">
            <v>24</v>
          </cell>
          <cell r="F25">
            <v>8</v>
          </cell>
          <cell r="G25">
            <v>14</v>
          </cell>
          <cell r="H25">
            <v>10</v>
          </cell>
          <cell r="I25">
            <v>4</v>
          </cell>
          <cell r="J25">
            <v>57.142857142857139</v>
          </cell>
          <cell r="K25">
            <v>2.7397260273972601</v>
          </cell>
          <cell r="L25">
            <v>40.821917808219169</v>
          </cell>
          <cell r="M25">
            <v>2.0410958904109586</v>
          </cell>
        </row>
        <row r="26">
          <cell r="B26" t="str">
            <v>Rallabudugur</v>
          </cell>
          <cell r="C26" t="str">
            <v>RALLABUDUGUR PS</v>
          </cell>
          <cell r="D26">
            <v>13</v>
          </cell>
          <cell r="E26">
            <v>7</v>
          </cell>
          <cell r="F26">
            <v>6</v>
          </cell>
          <cell r="G26">
            <v>11</v>
          </cell>
          <cell r="H26">
            <v>5</v>
          </cell>
          <cell r="I26">
            <v>6</v>
          </cell>
          <cell r="J26">
            <v>54.54545454545454</v>
          </cell>
          <cell r="K26">
            <v>5.4794520547945202</v>
          </cell>
          <cell r="L26">
            <v>39.825653798256532</v>
          </cell>
          <cell r="M26">
            <v>1.9912826899128266</v>
          </cell>
        </row>
        <row r="27">
          <cell r="B27" t="str">
            <v>Ramakuppam</v>
          </cell>
          <cell r="C27" t="str">
            <v>RAMAKUPPAM PS</v>
          </cell>
          <cell r="D27">
            <v>42</v>
          </cell>
          <cell r="E27">
            <v>28</v>
          </cell>
          <cell r="F27">
            <v>14</v>
          </cell>
          <cell r="G27">
            <v>28</v>
          </cell>
          <cell r="H27">
            <v>15</v>
          </cell>
          <cell r="I27">
            <v>13</v>
          </cell>
          <cell r="J27">
            <v>50</v>
          </cell>
          <cell r="K27">
            <v>15.068493150684931</v>
          </cell>
          <cell r="L27">
            <v>39.520547945205479</v>
          </cell>
          <cell r="M27">
            <v>1.976027397260274</v>
          </cell>
        </row>
        <row r="28">
          <cell r="B28" t="str">
            <v>Rompicherla</v>
          </cell>
          <cell r="C28" t="str">
            <v>ROMPICHERLA PS</v>
          </cell>
          <cell r="D28">
            <v>28</v>
          </cell>
          <cell r="E28">
            <v>20</v>
          </cell>
          <cell r="F28">
            <v>8</v>
          </cell>
          <cell r="G28">
            <v>16</v>
          </cell>
          <cell r="H28">
            <v>8</v>
          </cell>
          <cell r="I28">
            <v>8</v>
          </cell>
          <cell r="J28">
            <v>50</v>
          </cell>
          <cell r="K28">
            <v>8.2191780821917817</v>
          </cell>
          <cell r="L28">
            <v>37.465753424657535</v>
          </cell>
          <cell r="M28">
            <v>1.8732876712328768</v>
          </cell>
        </row>
        <row r="29">
          <cell r="B29" t="str">
            <v>S.R.Puram</v>
          </cell>
          <cell r="C29" t="str">
            <v>SR PURAM PS</v>
          </cell>
          <cell r="D29">
            <v>27</v>
          </cell>
          <cell r="E29">
            <v>20</v>
          </cell>
          <cell r="F29">
            <v>7</v>
          </cell>
          <cell r="G29">
            <v>14</v>
          </cell>
          <cell r="H29">
            <v>8</v>
          </cell>
          <cell r="I29">
            <v>6</v>
          </cell>
          <cell r="J29">
            <v>50</v>
          </cell>
          <cell r="K29">
            <v>5.4794520547945202</v>
          </cell>
          <cell r="L29">
            <v>36.643835616438359</v>
          </cell>
          <cell r="M29">
            <v>1.8321917808219181</v>
          </cell>
        </row>
        <row r="30">
          <cell r="B30" t="str">
            <v>Thavanampalle</v>
          </cell>
          <cell r="C30" t="str">
            <v>THAVANAMPALLE PS</v>
          </cell>
          <cell r="D30">
            <v>47</v>
          </cell>
          <cell r="E30">
            <v>35</v>
          </cell>
          <cell r="F30">
            <v>12</v>
          </cell>
          <cell r="G30">
            <v>26</v>
          </cell>
          <cell r="H30">
            <v>19</v>
          </cell>
          <cell r="I30">
            <v>7</v>
          </cell>
          <cell r="J30">
            <v>46.153846153846153</v>
          </cell>
          <cell r="K30">
            <v>6.8493150684931505</v>
          </cell>
          <cell r="L30">
            <v>34.36248682824025</v>
          </cell>
          <cell r="M30">
            <v>1.7181243414120126</v>
          </cell>
        </row>
        <row r="31">
          <cell r="B31" t="str">
            <v>V.Kota UPS</v>
          </cell>
          <cell r="C31" t="str">
            <v>V.KOTA URBAN PS</v>
          </cell>
          <cell r="D31">
            <v>25</v>
          </cell>
          <cell r="E31">
            <v>19</v>
          </cell>
          <cell r="F31">
            <v>6</v>
          </cell>
          <cell r="G31">
            <v>14</v>
          </cell>
          <cell r="H31">
            <v>8</v>
          </cell>
          <cell r="I31">
            <v>6</v>
          </cell>
          <cell r="J31">
            <v>42.857142857142854</v>
          </cell>
          <cell r="K31">
            <v>5.4794520547945202</v>
          </cell>
          <cell r="L31">
            <v>31.643835616438352</v>
          </cell>
          <cell r="M31">
            <v>1.5821917808219177</v>
          </cell>
        </row>
        <row r="32">
          <cell r="B32" t="str">
            <v>Vedurukuppam</v>
          </cell>
          <cell r="C32" t="str">
            <v>VEDURUKUPPAM PS</v>
          </cell>
          <cell r="D32">
            <v>59</v>
          </cell>
          <cell r="E32">
            <v>47</v>
          </cell>
          <cell r="F32">
            <v>12</v>
          </cell>
          <cell r="G32">
            <v>30</v>
          </cell>
          <cell r="H32">
            <v>20</v>
          </cell>
          <cell r="I32">
            <v>10</v>
          </cell>
          <cell r="J32">
            <v>40</v>
          </cell>
          <cell r="K32">
            <v>10.95890410958904</v>
          </cell>
          <cell r="L32">
            <v>31.287671232876711</v>
          </cell>
          <cell r="M32">
            <v>1.5643835616438357</v>
          </cell>
        </row>
        <row r="33">
          <cell r="B33" t="str">
            <v>Vijayapuram</v>
          </cell>
          <cell r="C33" t="str">
            <v>VIJAYAPURAM PS</v>
          </cell>
          <cell r="D33">
            <v>63</v>
          </cell>
          <cell r="E33">
            <v>54</v>
          </cell>
          <cell r="F33">
            <v>9</v>
          </cell>
          <cell r="G33">
            <v>22</v>
          </cell>
          <cell r="H33">
            <v>14</v>
          </cell>
          <cell r="I33">
            <v>8</v>
          </cell>
          <cell r="J33">
            <v>40.909090909090914</v>
          </cell>
          <cell r="K33">
            <v>8.2191780821917817</v>
          </cell>
          <cell r="L33">
            <v>31.102117061021172</v>
          </cell>
          <cell r="M33">
            <v>1.5551058530510586</v>
          </cell>
        </row>
        <row r="34">
          <cell r="B34" t="str">
            <v>Yadamari</v>
          </cell>
          <cell r="C34" t="str">
            <v>YADAMARI PS</v>
          </cell>
          <cell r="D34">
            <v>59</v>
          </cell>
          <cell r="E34">
            <v>50</v>
          </cell>
          <cell r="F34">
            <v>9</v>
          </cell>
          <cell r="G34">
            <v>35</v>
          </cell>
          <cell r="H34">
            <v>30</v>
          </cell>
          <cell r="I34">
            <v>5</v>
          </cell>
          <cell r="J34">
            <v>25.714285714285712</v>
          </cell>
          <cell r="K34">
            <v>4.1095890410958908</v>
          </cell>
          <cell r="L34">
            <v>19.232876712328764</v>
          </cell>
          <cell r="M34">
            <v>0.96164383561643829</v>
          </cell>
        </row>
        <row r="35">
          <cell r="B35" t="str">
            <v>Chittoor Traffic UPS</v>
          </cell>
          <cell r="D35">
            <v>0</v>
          </cell>
          <cell r="L35">
            <v>0</v>
          </cell>
          <cell r="M35">
            <v>2.5</v>
          </cell>
        </row>
        <row r="36">
          <cell r="B36" t="str">
            <v>Mahila UPS, Chittoor</v>
          </cell>
          <cell r="D36">
            <v>0</v>
          </cell>
          <cell r="L36">
            <v>0</v>
          </cell>
          <cell r="M36">
            <v>2.5</v>
          </cell>
        </row>
      </sheetData>
      <sheetData sheetId="16">
        <row r="3">
          <cell r="B3" t="str">
            <v>District</v>
          </cell>
          <cell r="C3" t="str">
            <v>No. of cases
 eProc created</v>
          </cell>
          <cell r="D3" t="str">
            <v>Raw Value</v>
          </cell>
          <cell r="E3" t="str">
            <v>Marks</v>
          </cell>
        </row>
        <row r="4">
          <cell r="B4" t="str">
            <v>Baireddypalle</v>
          </cell>
          <cell r="C4" t="str">
            <v>NA</v>
          </cell>
          <cell r="D4">
            <v>0</v>
          </cell>
          <cell r="E4">
            <v>0</v>
          </cell>
        </row>
        <row r="5">
          <cell r="B5" t="str">
            <v>Bangarupalem UPS</v>
          </cell>
          <cell r="C5" t="str">
            <v>NA</v>
          </cell>
          <cell r="D5">
            <v>0</v>
          </cell>
          <cell r="E5">
            <v>0</v>
          </cell>
        </row>
        <row r="6">
          <cell r="B6" t="str">
            <v>CCS Chittoor UPS</v>
          </cell>
          <cell r="C6" t="str">
            <v>NA</v>
          </cell>
          <cell r="D6">
            <v>0</v>
          </cell>
          <cell r="E6">
            <v>0</v>
          </cell>
        </row>
        <row r="7">
          <cell r="B7" t="str">
            <v>Chittoor I Town UPS</v>
          </cell>
          <cell r="C7" t="str">
            <v>NA</v>
          </cell>
          <cell r="D7">
            <v>0</v>
          </cell>
          <cell r="E7">
            <v>0</v>
          </cell>
        </row>
        <row r="8">
          <cell r="B8" t="str">
            <v>Chittoor II Town UPS</v>
          </cell>
          <cell r="C8" t="str">
            <v>NA</v>
          </cell>
          <cell r="D8">
            <v>0</v>
          </cell>
          <cell r="E8">
            <v>0</v>
          </cell>
        </row>
        <row r="9">
          <cell r="B9" t="str">
            <v>Chittoor Taluk PS</v>
          </cell>
          <cell r="C9" t="str">
            <v>NA</v>
          </cell>
          <cell r="D9">
            <v>0</v>
          </cell>
          <cell r="E9">
            <v>0</v>
          </cell>
        </row>
        <row r="10">
          <cell r="B10" t="str">
            <v>Chittoor Traffic UPS</v>
          </cell>
          <cell r="C10" t="str">
            <v>NA</v>
          </cell>
          <cell r="D10">
            <v>0</v>
          </cell>
          <cell r="E10">
            <v>0</v>
          </cell>
        </row>
        <row r="11">
          <cell r="B11" t="str">
            <v>G.D.Nellore UPS</v>
          </cell>
          <cell r="C11" t="str">
            <v>NA</v>
          </cell>
          <cell r="D11">
            <v>0</v>
          </cell>
          <cell r="E11">
            <v>0</v>
          </cell>
        </row>
        <row r="12">
          <cell r="B12" t="str">
            <v>Gangavaram UPS</v>
          </cell>
          <cell r="C12" t="str">
            <v>NA</v>
          </cell>
          <cell r="D12">
            <v>0</v>
          </cell>
          <cell r="E12">
            <v>0</v>
          </cell>
        </row>
        <row r="13">
          <cell r="B13" t="str">
            <v>Gudipala</v>
          </cell>
          <cell r="C13" t="str">
            <v>NA</v>
          </cell>
          <cell r="D13">
            <v>0</v>
          </cell>
          <cell r="E13">
            <v>0</v>
          </cell>
        </row>
        <row r="14">
          <cell r="B14" t="str">
            <v>Gudipalli</v>
          </cell>
          <cell r="C14" t="str">
            <v>NA</v>
          </cell>
          <cell r="D14">
            <v>0</v>
          </cell>
          <cell r="E14">
            <v>0</v>
          </cell>
        </row>
        <row r="15">
          <cell r="B15" t="str">
            <v>Irala</v>
          </cell>
          <cell r="C15" t="str">
            <v>NA</v>
          </cell>
          <cell r="D15">
            <v>0</v>
          </cell>
          <cell r="E15">
            <v>0</v>
          </cell>
        </row>
        <row r="16">
          <cell r="B16" t="str">
            <v>K. Nagar</v>
          </cell>
          <cell r="C16" t="str">
            <v>NA</v>
          </cell>
          <cell r="D16">
            <v>0</v>
          </cell>
          <cell r="E16">
            <v>0</v>
          </cell>
        </row>
        <row r="17">
          <cell r="B17" t="str">
            <v>Kallur</v>
          </cell>
          <cell r="C17" t="str">
            <v>NA</v>
          </cell>
          <cell r="D17">
            <v>0</v>
          </cell>
          <cell r="E17">
            <v>0</v>
          </cell>
        </row>
        <row r="18">
          <cell r="B18" t="str">
            <v>Kanipakam</v>
          </cell>
          <cell r="C18" t="str">
            <v>NA</v>
          </cell>
          <cell r="D18">
            <v>0</v>
          </cell>
          <cell r="E18">
            <v>0</v>
          </cell>
        </row>
        <row r="19">
          <cell r="B19" t="str">
            <v>Kuppam UPS</v>
          </cell>
          <cell r="C19" t="str">
            <v>NA</v>
          </cell>
          <cell r="D19">
            <v>0</v>
          </cell>
          <cell r="E19">
            <v>0</v>
          </cell>
        </row>
        <row r="20">
          <cell r="B20" t="str">
            <v>Mahila UPS, Chittoor</v>
          </cell>
          <cell r="C20" t="str">
            <v>NA</v>
          </cell>
          <cell r="D20">
            <v>0</v>
          </cell>
          <cell r="E20">
            <v>0</v>
          </cell>
        </row>
        <row r="21">
          <cell r="B21" t="str">
            <v>Nagari UPS</v>
          </cell>
          <cell r="C21" t="str">
            <v>NA</v>
          </cell>
          <cell r="D21">
            <v>0</v>
          </cell>
          <cell r="E21">
            <v>0</v>
          </cell>
        </row>
        <row r="22">
          <cell r="B22" t="str">
            <v>Narsingarayanipet(N.R.Pet)</v>
          </cell>
          <cell r="C22" t="str">
            <v>NA</v>
          </cell>
          <cell r="D22">
            <v>0</v>
          </cell>
          <cell r="E22">
            <v>0</v>
          </cell>
        </row>
        <row r="23">
          <cell r="B23" t="str">
            <v>Nindra</v>
          </cell>
          <cell r="C23" t="str">
            <v>NA</v>
          </cell>
          <cell r="D23">
            <v>0</v>
          </cell>
          <cell r="E23">
            <v>0</v>
          </cell>
        </row>
        <row r="24">
          <cell r="B24" t="str">
            <v>Palamaner UPS</v>
          </cell>
          <cell r="C24" t="str">
            <v>NA</v>
          </cell>
          <cell r="D24">
            <v>0</v>
          </cell>
          <cell r="E24">
            <v>0</v>
          </cell>
        </row>
        <row r="25">
          <cell r="B25" t="str">
            <v>Palasamudram</v>
          </cell>
          <cell r="C25" t="str">
            <v>NA</v>
          </cell>
          <cell r="D25">
            <v>0</v>
          </cell>
          <cell r="E25">
            <v>0</v>
          </cell>
        </row>
        <row r="26">
          <cell r="B26" t="str">
            <v>Panjani</v>
          </cell>
          <cell r="C26" t="str">
            <v>NA</v>
          </cell>
          <cell r="D26">
            <v>0</v>
          </cell>
          <cell r="E26">
            <v>0</v>
          </cell>
        </row>
        <row r="27">
          <cell r="B27" t="str">
            <v>Penumur</v>
          </cell>
          <cell r="C27" t="str">
            <v>NA</v>
          </cell>
          <cell r="D27">
            <v>0</v>
          </cell>
          <cell r="E27">
            <v>0</v>
          </cell>
        </row>
        <row r="28">
          <cell r="B28" t="str">
            <v>Puthalapattu UPS</v>
          </cell>
          <cell r="C28" t="str">
            <v>NA</v>
          </cell>
          <cell r="D28">
            <v>0</v>
          </cell>
          <cell r="E28">
            <v>0</v>
          </cell>
        </row>
        <row r="29">
          <cell r="B29" t="str">
            <v>Rallabudugur</v>
          </cell>
          <cell r="C29" t="str">
            <v>NA</v>
          </cell>
          <cell r="D29">
            <v>0</v>
          </cell>
          <cell r="E29">
            <v>0</v>
          </cell>
        </row>
        <row r="30">
          <cell r="B30" t="str">
            <v>Ramakuppam</v>
          </cell>
          <cell r="C30" t="str">
            <v>NA</v>
          </cell>
          <cell r="D30">
            <v>0</v>
          </cell>
          <cell r="E30">
            <v>0</v>
          </cell>
        </row>
        <row r="31">
          <cell r="B31" t="str">
            <v>Rompicherla</v>
          </cell>
          <cell r="C31" t="str">
            <v>NA</v>
          </cell>
          <cell r="D31">
            <v>0</v>
          </cell>
          <cell r="E31">
            <v>0</v>
          </cell>
        </row>
        <row r="32">
          <cell r="B32" t="str">
            <v>S.R.Puram</v>
          </cell>
          <cell r="C32" t="str">
            <v>NA</v>
          </cell>
          <cell r="D32">
            <v>0</v>
          </cell>
          <cell r="E32">
            <v>0</v>
          </cell>
        </row>
        <row r="33">
          <cell r="B33" t="str">
            <v>Thavanampalle</v>
          </cell>
          <cell r="C33" t="str">
            <v>NA</v>
          </cell>
          <cell r="D33">
            <v>0</v>
          </cell>
          <cell r="E33">
            <v>0</v>
          </cell>
        </row>
        <row r="34">
          <cell r="B34" t="str">
            <v>V.Kota UPS</v>
          </cell>
          <cell r="C34" t="str">
            <v>NA</v>
          </cell>
          <cell r="D34">
            <v>0</v>
          </cell>
          <cell r="E34">
            <v>0</v>
          </cell>
        </row>
        <row r="35">
          <cell r="B35" t="str">
            <v>Vedurukuppam</v>
          </cell>
          <cell r="C35" t="str">
            <v>NA</v>
          </cell>
          <cell r="D35">
            <v>0</v>
          </cell>
          <cell r="E35">
            <v>0</v>
          </cell>
        </row>
        <row r="36">
          <cell r="B36" t="str">
            <v>Vijayapuram</v>
          </cell>
          <cell r="C36" t="str">
            <v>NA</v>
          </cell>
          <cell r="D36">
            <v>0</v>
          </cell>
          <cell r="E36">
            <v>0</v>
          </cell>
        </row>
        <row r="37">
          <cell r="B37" t="str">
            <v>Yadamari</v>
          </cell>
          <cell r="C37" t="str">
            <v>NA</v>
          </cell>
          <cell r="D37">
            <v>0</v>
          </cell>
          <cell r="E37">
            <v>0</v>
          </cell>
        </row>
      </sheetData>
      <sheetData sheetId="17">
        <row r="2">
          <cell r="B2" t="str">
            <v>POLICE STATION</v>
          </cell>
          <cell r="C2" t="str">
            <v>Total FIRs Registered</v>
          </cell>
          <cell r="D2" t="str">
            <v>FIRs Consumed in Court</v>
          </cell>
          <cell r="E2" t="str">
            <v>FIR Raw Value</v>
          </cell>
          <cell r="F2" t="str">
            <v>Marks
(2.5)</v>
          </cell>
          <cell r="G2" t="str">
            <v>Charge sheets Filed</v>
          </cell>
          <cell r="H2" t="str">
            <v>Chargesheets Consumed in Court</v>
          </cell>
          <cell r="I2" t="str">
            <v>Charge Sheet
Raw Value</v>
          </cell>
          <cell r="J2" t="str">
            <v>Marks
(2.5)</v>
          </cell>
          <cell r="K2" t="str">
            <v>TOTAL MARKS
(5)</v>
          </cell>
          <cell r="L2" t="str">
            <v>Final Raw Value</v>
          </cell>
        </row>
        <row r="3">
          <cell r="B3" t="str">
            <v>CCS Chittoor UPS</v>
          </cell>
          <cell r="C3">
            <v>4</v>
          </cell>
          <cell r="D3">
            <v>0</v>
          </cell>
          <cell r="E3">
            <v>0</v>
          </cell>
          <cell r="F3">
            <v>0</v>
          </cell>
          <cell r="G3">
            <v>1</v>
          </cell>
          <cell r="H3">
            <v>1</v>
          </cell>
          <cell r="I3">
            <v>100</v>
          </cell>
          <cell r="J3">
            <v>2.5</v>
          </cell>
          <cell r="K3">
            <v>2.5</v>
          </cell>
          <cell r="L3">
            <v>50</v>
          </cell>
        </row>
        <row r="4">
          <cell r="B4" t="str">
            <v>Chittoor Traffic UPS</v>
          </cell>
          <cell r="C4">
            <v>118</v>
          </cell>
          <cell r="D4">
            <v>0</v>
          </cell>
          <cell r="E4">
            <v>0</v>
          </cell>
          <cell r="F4">
            <v>0</v>
          </cell>
          <cell r="G4">
            <v>102</v>
          </cell>
          <cell r="H4">
            <v>90</v>
          </cell>
          <cell r="I4">
            <v>88.235294117647058</v>
          </cell>
          <cell r="J4">
            <v>2.2058823529411766</v>
          </cell>
          <cell r="K4">
            <v>2.2058823529411766</v>
          </cell>
          <cell r="L4">
            <v>44.117647058823529</v>
          </cell>
        </row>
        <row r="5">
          <cell r="B5" t="str">
            <v>Mahila UPS, Chittoor</v>
          </cell>
          <cell r="C5">
            <v>101</v>
          </cell>
          <cell r="D5">
            <v>0</v>
          </cell>
          <cell r="E5">
            <v>0</v>
          </cell>
          <cell r="F5">
            <v>0</v>
          </cell>
          <cell r="G5">
            <v>97</v>
          </cell>
          <cell r="H5">
            <v>85</v>
          </cell>
          <cell r="I5">
            <v>87.628865979381445</v>
          </cell>
          <cell r="J5">
            <v>2.1907216494845363</v>
          </cell>
          <cell r="K5">
            <v>2.1907216494845363</v>
          </cell>
          <cell r="L5">
            <v>43.814432989690722</v>
          </cell>
        </row>
        <row r="6">
          <cell r="B6" t="str">
            <v>Palasamudram</v>
          </cell>
          <cell r="C6">
            <v>72</v>
          </cell>
          <cell r="D6">
            <v>0</v>
          </cell>
          <cell r="E6">
            <v>0</v>
          </cell>
          <cell r="F6">
            <v>0</v>
          </cell>
          <cell r="G6">
            <v>65</v>
          </cell>
          <cell r="H6">
            <v>50</v>
          </cell>
          <cell r="I6">
            <v>76.92307692307692</v>
          </cell>
          <cell r="J6">
            <v>1.9230769230769231</v>
          </cell>
          <cell r="K6">
            <v>1.9230769230769231</v>
          </cell>
          <cell r="L6">
            <v>38.46153846153846</v>
          </cell>
        </row>
        <row r="7">
          <cell r="B7" t="str">
            <v>Kallur</v>
          </cell>
          <cell r="C7">
            <v>150</v>
          </cell>
          <cell r="D7">
            <v>0</v>
          </cell>
          <cell r="E7">
            <v>0</v>
          </cell>
          <cell r="F7">
            <v>0</v>
          </cell>
          <cell r="G7">
            <v>128</v>
          </cell>
          <cell r="H7">
            <v>98</v>
          </cell>
          <cell r="I7">
            <v>76.5625</v>
          </cell>
          <cell r="J7">
            <v>1.9140625</v>
          </cell>
          <cell r="K7">
            <v>1.9140625</v>
          </cell>
          <cell r="L7">
            <v>38.28125</v>
          </cell>
        </row>
        <row r="8">
          <cell r="B8" t="str">
            <v>Chittoor Taluk PS</v>
          </cell>
          <cell r="C8">
            <v>192</v>
          </cell>
          <cell r="D8">
            <v>0</v>
          </cell>
          <cell r="E8">
            <v>0</v>
          </cell>
          <cell r="F8">
            <v>0</v>
          </cell>
          <cell r="G8">
            <v>144</v>
          </cell>
          <cell r="H8">
            <v>103</v>
          </cell>
          <cell r="I8">
            <v>71.527777777777771</v>
          </cell>
          <cell r="J8">
            <v>1.7881944444444444</v>
          </cell>
          <cell r="K8">
            <v>1.7881944444444444</v>
          </cell>
          <cell r="L8">
            <v>35.763888888888886</v>
          </cell>
        </row>
        <row r="9">
          <cell r="B9" t="str">
            <v>Irala</v>
          </cell>
          <cell r="C9">
            <v>105</v>
          </cell>
          <cell r="D9">
            <v>0</v>
          </cell>
          <cell r="E9">
            <v>0</v>
          </cell>
          <cell r="F9">
            <v>0</v>
          </cell>
          <cell r="G9">
            <v>88</v>
          </cell>
          <cell r="H9">
            <v>62</v>
          </cell>
          <cell r="I9">
            <v>70.454545454545453</v>
          </cell>
          <cell r="J9">
            <v>1.7613636363636365</v>
          </cell>
          <cell r="K9">
            <v>1.7613636363636365</v>
          </cell>
          <cell r="L9">
            <v>35.227272727272727</v>
          </cell>
        </row>
        <row r="10">
          <cell r="B10" t="str">
            <v>Narsingarayanipet(N.R.Pet)</v>
          </cell>
          <cell r="C10">
            <v>75</v>
          </cell>
          <cell r="D10">
            <v>0</v>
          </cell>
          <cell r="E10">
            <v>0</v>
          </cell>
          <cell r="F10">
            <v>0</v>
          </cell>
          <cell r="G10">
            <v>67</v>
          </cell>
          <cell r="H10">
            <v>47</v>
          </cell>
          <cell r="I10">
            <v>70.149253731343279</v>
          </cell>
          <cell r="J10">
            <v>1.7537313432835822</v>
          </cell>
          <cell r="K10">
            <v>1.7537313432835822</v>
          </cell>
          <cell r="L10">
            <v>35.07462686567164</v>
          </cell>
        </row>
        <row r="11">
          <cell r="B11" t="str">
            <v>Gudipala</v>
          </cell>
          <cell r="C11">
            <v>177</v>
          </cell>
          <cell r="D11">
            <v>0</v>
          </cell>
          <cell r="E11">
            <v>0</v>
          </cell>
          <cell r="F11">
            <v>0</v>
          </cell>
          <cell r="G11">
            <v>158</v>
          </cell>
          <cell r="H11">
            <v>104</v>
          </cell>
          <cell r="I11">
            <v>65.822784810126578</v>
          </cell>
          <cell r="J11">
            <v>1.6455696202531644</v>
          </cell>
          <cell r="K11">
            <v>1.6455696202531644</v>
          </cell>
          <cell r="L11">
            <v>32.911392405063289</v>
          </cell>
        </row>
        <row r="12">
          <cell r="B12" t="str">
            <v>G.D.Nellore UPS</v>
          </cell>
          <cell r="C12">
            <v>237</v>
          </cell>
          <cell r="D12">
            <v>0</v>
          </cell>
          <cell r="E12">
            <v>0</v>
          </cell>
          <cell r="F12">
            <v>0</v>
          </cell>
          <cell r="G12">
            <v>177</v>
          </cell>
          <cell r="H12">
            <v>116</v>
          </cell>
          <cell r="I12">
            <v>65.536723163841813</v>
          </cell>
          <cell r="J12">
            <v>1.6384180790960454</v>
          </cell>
          <cell r="K12">
            <v>1.6384180790960454</v>
          </cell>
          <cell r="L12">
            <v>32.768361581920907</v>
          </cell>
        </row>
        <row r="13">
          <cell r="B13" t="str">
            <v>Baireddypalle</v>
          </cell>
          <cell r="C13">
            <v>169</v>
          </cell>
          <cell r="D13">
            <v>0</v>
          </cell>
          <cell r="E13">
            <v>0</v>
          </cell>
          <cell r="F13">
            <v>0</v>
          </cell>
          <cell r="G13">
            <v>142</v>
          </cell>
          <cell r="H13">
            <v>93</v>
          </cell>
          <cell r="I13">
            <v>65.492957746478879</v>
          </cell>
          <cell r="J13">
            <v>1.637323943661972</v>
          </cell>
          <cell r="K13">
            <v>1.637323943661972</v>
          </cell>
          <cell r="L13">
            <v>32.74647887323944</v>
          </cell>
        </row>
        <row r="14">
          <cell r="B14" t="str">
            <v>Kanipakam</v>
          </cell>
          <cell r="C14">
            <v>105</v>
          </cell>
          <cell r="D14">
            <v>0</v>
          </cell>
          <cell r="E14">
            <v>0</v>
          </cell>
          <cell r="F14">
            <v>0</v>
          </cell>
          <cell r="G14">
            <v>90</v>
          </cell>
          <cell r="H14">
            <v>57</v>
          </cell>
          <cell r="I14">
            <v>63.333333333333336</v>
          </cell>
          <cell r="J14">
            <v>1.5833333333333335</v>
          </cell>
          <cell r="K14">
            <v>1.5833333333333335</v>
          </cell>
          <cell r="L14">
            <v>31.666666666666668</v>
          </cell>
        </row>
        <row r="15">
          <cell r="B15" t="str">
            <v>Thavanampalle</v>
          </cell>
          <cell r="C15">
            <v>136</v>
          </cell>
          <cell r="D15">
            <v>0</v>
          </cell>
          <cell r="E15">
            <v>0</v>
          </cell>
          <cell r="F15">
            <v>0</v>
          </cell>
          <cell r="G15">
            <v>108</v>
          </cell>
          <cell r="H15">
            <v>66</v>
          </cell>
          <cell r="I15">
            <v>61.111111111111114</v>
          </cell>
          <cell r="J15">
            <v>1.5277777777777779</v>
          </cell>
          <cell r="K15">
            <v>1.5277777777777779</v>
          </cell>
          <cell r="L15">
            <v>30.555555555555557</v>
          </cell>
        </row>
        <row r="16">
          <cell r="B16" t="str">
            <v>Gangavaram UPS</v>
          </cell>
          <cell r="C16">
            <v>324</v>
          </cell>
          <cell r="D16">
            <v>0</v>
          </cell>
          <cell r="E16">
            <v>0</v>
          </cell>
          <cell r="F16">
            <v>0</v>
          </cell>
          <cell r="G16">
            <v>297</v>
          </cell>
          <cell r="H16">
            <v>179</v>
          </cell>
          <cell r="I16">
            <v>60.26936026936027</v>
          </cell>
          <cell r="J16">
            <v>1.5067340067340069</v>
          </cell>
          <cell r="K16">
            <v>1.5067340067340069</v>
          </cell>
          <cell r="L16">
            <v>30.134680134680135</v>
          </cell>
        </row>
        <row r="17">
          <cell r="B17" t="str">
            <v>Bangarupalem UPS</v>
          </cell>
          <cell r="C17">
            <v>333</v>
          </cell>
          <cell r="D17">
            <v>0</v>
          </cell>
          <cell r="E17">
            <v>0</v>
          </cell>
          <cell r="F17">
            <v>0</v>
          </cell>
          <cell r="G17">
            <v>307</v>
          </cell>
          <cell r="H17">
            <v>184</v>
          </cell>
          <cell r="I17">
            <v>59.934853420195438</v>
          </cell>
          <cell r="J17">
            <v>1.498371335504886</v>
          </cell>
          <cell r="K17">
            <v>1.498371335504886</v>
          </cell>
          <cell r="L17">
            <v>29.967426710097719</v>
          </cell>
        </row>
        <row r="18">
          <cell r="B18" t="str">
            <v>K. Nagar</v>
          </cell>
          <cell r="C18">
            <v>203</v>
          </cell>
          <cell r="D18">
            <v>0</v>
          </cell>
          <cell r="E18">
            <v>0</v>
          </cell>
          <cell r="F18">
            <v>0</v>
          </cell>
          <cell r="G18">
            <v>162</v>
          </cell>
          <cell r="H18">
            <v>96</v>
          </cell>
          <cell r="I18">
            <v>59.25925925925926</v>
          </cell>
          <cell r="J18">
            <v>1.4814814814814816</v>
          </cell>
          <cell r="K18">
            <v>1.4814814814814816</v>
          </cell>
          <cell r="L18">
            <v>29.62962962962963</v>
          </cell>
        </row>
        <row r="19">
          <cell r="B19" t="str">
            <v>Yadamari</v>
          </cell>
          <cell r="C19">
            <v>170</v>
          </cell>
          <cell r="D19">
            <v>0</v>
          </cell>
          <cell r="E19">
            <v>0</v>
          </cell>
          <cell r="F19">
            <v>0</v>
          </cell>
          <cell r="G19">
            <v>146</v>
          </cell>
          <cell r="H19">
            <v>82</v>
          </cell>
          <cell r="I19">
            <v>56.164383561643838</v>
          </cell>
          <cell r="J19">
            <v>1.404109589041096</v>
          </cell>
          <cell r="K19">
            <v>1.404109589041096</v>
          </cell>
          <cell r="L19">
            <v>28.082191780821919</v>
          </cell>
        </row>
        <row r="20">
          <cell r="B20" t="str">
            <v>Palamaner UPS</v>
          </cell>
          <cell r="C20">
            <v>411</v>
          </cell>
          <cell r="D20">
            <v>0</v>
          </cell>
          <cell r="E20">
            <v>0</v>
          </cell>
          <cell r="F20">
            <v>0</v>
          </cell>
          <cell r="G20">
            <v>341</v>
          </cell>
          <cell r="H20">
            <v>188</v>
          </cell>
          <cell r="I20">
            <v>55.131964809384165</v>
          </cell>
          <cell r="J20">
            <v>1.3782991202346042</v>
          </cell>
          <cell r="K20">
            <v>1.3782991202346042</v>
          </cell>
          <cell r="L20">
            <v>27.565982404692082</v>
          </cell>
        </row>
        <row r="21">
          <cell r="B21" t="str">
            <v>S.R.Puram</v>
          </cell>
          <cell r="C21">
            <v>195</v>
          </cell>
          <cell r="D21">
            <v>0</v>
          </cell>
          <cell r="E21">
            <v>0</v>
          </cell>
          <cell r="F21">
            <v>0</v>
          </cell>
          <cell r="G21">
            <v>130</v>
          </cell>
          <cell r="H21">
            <v>71</v>
          </cell>
          <cell r="I21">
            <v>54.615384615384613</v>
          </cell>
          <cell r="J21">
            <v>1.3653846153846154</v>
          </cell>
          <cell r="K21">
            <v>1.3653846153846154</v>
          </cell>
          <cell r="L21">
            <v>27.307692307692307</v>
          </cell>
        </row>
        <row r="22">
          <cell r="B22" t="str">
            <v>V.Kota UPS</v>
          </cell>
          <cell r="C22">
            <v>323</v>
          </cell>
          <cell r="D22">
            <v>0</v>
          </cell>
          <cell r="E22">
            <v>0</v>
          </cell>
          <cell r="F22">
            <v>0</v>
          </cell>
          <cell r="G22">
            <v>248</v>
          </cell>
          <cell r="H22">
            <v>132</v>
          </cell>
          <cell r="I22">
            <v>53.225806451612904</v>
          </cell>
          <cell r="J22">
            <v>1.3306451612903227</v>
          </cell>
          <cell r="K22">
            <v>1.3306451612903227</v>
          </cell>
          <cell r="L22">
            <v>26.612903225806452</v>
          </cell>
        </row>
        <row r="23">
          <cell r="B23" t="str">
            <v>Rallabudugur</v>
          </cell>
          <cell r="C23">
            <v>203</v>
          </cell>
          <cell r="D23">
            <v>0</v>
          </cell>
          <cell r="E23">
            <v>0</v>
          </cell>
          <cell r="F23">
            <v>0</v>
          </cell>
          <cell r="G23">
            <v>180</v>
          </cell>
          <cell r="H23">
            <v>95</v>
          </cell>
          <cell r="I23">
            <v>52.777777777777779</v>
          </cell>
          <cell r="J23">
            <v>1.3194444444444446</v>
          </cell>
          <cell r="K23">
            <v>1.3194444444444446</v>
          </cell>
          <cell r="L23">
            <v>26.388888888888889</v>
          </cell>
        </row>
        <row r="24">
          <cell r="B24" t="str">
            <v>Gudipalli</v>
          </cell>
          <cell r="C24">
            <v>118</v>
          </cell>
          <cell r="D24">
            <v>0</v>
          </cell>
          <cell r="E24">
            <v>0</v>
          </cell>
          <cell r="F24">
            <v>0</v>
          </cell>
          <cell r="G24">
            <v>108</v>
          </cell>
          <cell r="H24">
            <v>54</v>
          </cell>
          <cell r="I24">
            <v>50</v>
          </cell>
          <cell r="J24">
            <v>1.25</v>
          </cell>
          <cell r="K24">
            <v>1.25</v>
          </cell>
          <cell r="L24">
            <v>25</v>
          </cell>
        </row>
        <row r="25">
          <cell r="B25" t="str">
            <v>Penumur</v>
          </cell>
          <cell r="C25">
            <v>149</v>
          </cell>
          <cell r="D25">
            <v>0</v>
          </cell>
          <cell r="E25">
            <v>0</v>
          </cell>
          <cell r="F25">
            <v>0</v>
          </cell>
          <cell r="G25">
            <v>142</v>
          </cell>
          <cell r="H25">
            <v>71</v>
          </cell>
          <cell r="I25">
            <v>50</v>
          </cell>
          <cell r="J25">
            <v>1.25</v>
          </cell>
          <cell r="K25">
            <v>1.25</v>
          </cell>
          <cell r="L25">
            <v>25</v>
          </cell>
        </row>
        <row r="26">
          <cell r="B26" t="str">
            <v>Chittoor II Town UPS</v>
          </cell>
          <cell r="C26">
            <v>226</v>
          </cell>
          <cell r="D26">
            <v>0</v>
          </cell>
          <cell r="E26">
            <v>0</v>
          </cell>
          <cell r="F26">
            <v>0</v>
          </cell>
          <cell r="G26">
            <v>173</v>
          </cell>
          <cell r="H26">
            <v>83</v>
          </cell>
          <cell r="I26">
            <v>47.97687861271676</v>
          </cell>
          <cell r="J26">
            <v>1.199421965317919</v>
          </cell>
          <cell r="K26">
            <v>1.199421965317919</v>
          </cell>
          <cell r="L26">
            <v>23.98843930635838</v>
          </cell>
        </row>
        <row r="27">
          <cell r="B27" t="str">
            <v>Kuppam UPS</v>
          </cell>
          <cell r="C27">
            <v>416</v>
          </cell>
          <cell r="D27">
            <v>0</v>
          </cell>
          <cell r="E27">
            <v>0</v>
          </cell>
          <cell r="F27">
            <v>0</v>
          </cell>
          <cell r="G27">
            <v>307</v>
          </cell>
          <cell r="H27">
            <v>144</v>
          </cell>
          <cell r="I27">
            <v>46.905537459283387</v>
          </cell>
          <cell r="J27">
            <v>1.1726384364820848</v>
          </cell>
          <cell r="K27">
            <v>1.1726384364820848</v>
          </cell>
          <cell r="L27">
            <v>23.452768729641694</v>
          </cell>
        </row>
        <row r="28">
          <cell r="B28" t="str">
            <v>Ramakuppam</v>
          </cell>
          <cell r="C28">
            <v>131</v>
          </cell>
          <cell r="D28">
            <v>0</v>
          </cell>
          <cell r="E28">
            <v>0</v>
          </cell>
          <cell r="F28">
            <v>0</v>
          </cell>
          <cell r="G28">
            <v>120</v>
          </cell>
          <cell r="H28">
            <v>55</v>
          </cell>
          <cell r="I28">
            <v>45.833333333333336</v>
          </cell>
          <cell r="J28">
            <v>1.1458333333333335</v>
          </cell>
          <cell r="K28">
            <v>1.1458333333333335</v>
          </cell>
          <cell r="L28">
            <v>22.916666666666668</v>
          </cell>
        </row>
        <row r="29">
          <cell r="B29" t="str">
            <v>Puthalapattu UPS</v>
          </cell>
          <cell r="C29">
            <v>168</v>
          </cell>
          <cell r="D29">
            <v>0</v>
          </cell>
          <cell r="E29">
            <v>0</v>
          </cell>
          <cell r="F29">
            <v>0</v>
          </cell>
          <cell r="G29">
            <v>143</v>
          </cell>
          <cell r="H29">
            <v>51</v>
          </cell>
          <cell r="I29">
            <v>35.664335664335667</v>
          </cell>
          <cell r="J29">
            <v>0.89160839160839167</v>
          </cell>
          <cell r="K29">
            <v>0.89160839160839167</v>
          </cell>
          <cell r="L29">
            <v>17.832167832167833</v>
          </cell>
        </row>
        <row r="30">
          <cell r="B30" t="str">
            <v>Chittoor I Town UPS</v>
          </cell>
          <cell r="C30">
            <v>215</v>
          </cell>
          <cell r="D30">
            <v>0</v>
          </cell>
          <cell r="E30">
            <v>0</v>
          </cell>
          <cell r="F30">
            <v>0</v>
          </cell>
          <cell r="G30">
            <v>148</v>
          </cell>
          <cell r="H30">
            <v>52</v>
          </cell>
          <cell r="I30">
            <v>35.135135135135137</v>
          </cell>
          <cell r="J30">
            <v>0.87837837837837851</v>
          </cell>
          <cell r="K30">
            <v>0.87837837837837851</v>
          </cell>
          <cell r="L30">
            <v>17.567567567567568</v>
          </cell>
        </row>
        <row r="31">
          <cell r="B31" t="str">
            <v>Panjani</v>
          </cell>
          <cell r="C31">
            <v>227</v>
          </cell>
          <cell r="D31">
            <v>0</v>
          </cell>
          <cell r="E31">
            <v>0</v>
          </cell>
          <cell r="F31">
            <v>0</v>
          </cell>
          <cell r="G31">
            <v>203</v>
          </cell>
          <cell r="H31">
            <v>68</v>
          </cell>
          <cell r="I31">
            <v>33.497536945812811</v>
          </cell>
          <cell r="J31">
            <v>0.83743842364532028</v>
          </cell>
          <cell r="K31">
            <v>0.83743842364532028</v>
          </cell>
          <cell r="L31">
            <v>16.748768472906406</v>
          </cell>
        </row>
        <row r="32">
          <cell r="B32" t="str">
            <v>Vedurukuppam</v>
          </cell>
          <cell r="C32">
            <v>239</v>
          </cell>
          <cell r="D32">
            <v>0</v>
          </cell>
          <cell r="E32">
            <v>0</v>
          </cell>
          <cell r="F32">
            <v>0</v>
          </cell>
          <cell r="G32">
            <v>143</v>
          </cell>
          <cell r="H32">
            <v>2</v>
          </cell>
          <cell r="I32">
            <v>1.3986013986013985</v>
          </cell>
          <cell r="J32">
            <v>3.4965034965034968E-2</v>
          </cell>
          <cell r="K32">
            <v>3.4965034965034968E-2</v>
          </cell>
          <cell r="L32">
            <v>0.69930069930069927</v>
          </cell>
        </row>
        <row r="33">
          <cell r="B33" t="str">
            <v>Nagari UPS</v>
          </cell>
          <cell r="C33">
            <v>266</v>
          </cell>
          <cell r="D33">
            <v>0</v>
          </cell>
          <cell r="E33">
            <v>0</v>
          </cell>
          <cell r="F33">
            <v>0</v>
          </cell>
          <cell r="G33">
            <v>219</v>
          </cell>
          <cell r="H33">
            <v>3</v>
          </cell>
          <cell r="I33">
            <v>1.3698630136986301</v>
          </cell>
          <cell r="J33">
            <v>3.4246575342465752E-2</v>
          </cell>
          <cell r="K33">
            <v>3.4246575342465752E-2</v>
          </cell>
          <cell r="L33">
            <v>0.68493150684931503</v>
          </cell>
        </row>
        <row r="34">
          <cell r="B34" t="str">
            <v>Nindra</v>
          </cell>
          <cell r="C34">
            <v>95</v>
          </cell>
          <cell r="D34">
            <v>0</v>
          </cell>
          <cell r="E34">
            <v>0</v>
          </cell>
          <cell r="F34">
            <v>0</v>
          </cell>
          <cell r="G34">
            <v>59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</row>
        <row r="35">
          <cell r="B35" t="str">
            <v>Rompicherla</v>
          </cell>
          <cell r="C35">
            <v>64</v>
          </cell>
          <cell r="D35">
            <v>0</v>
          </cell>
          <cell r="E35">
            <v>0</v>
          </cell>
          <cell r="F35">
            <v>0</v>
          </cell>
          <cell r="G35">
            <v>51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</row>
        <row r="36">
          <cell r="B36" t="str">
            <v>Vijayapuram</v>
          </cell>
          <cell r="C36">
            <v>96</v>
          </cell>
          <cell r="D36">
            <v>0</v>
          </cell>
          <cell r="E36">
            <v>0</v>
          </cell>
          <cell r="F36">
            <v>0</v>
          </cell>
          <cell r="G36">
            <v>48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</row>
        <row r="37">
          <cell r="C37">
            <v>6213</v>
          </cell>
          <cell r="D37">
            <v>0</v>
          </cell>
          <cell r="E37">
            <v>0</v>
          </cell>
          <cell r="F37">
            <v>0</v>
          </cell>
          <cell r="G37">
            <v>5670</v>
          </cell>
          <cell r="H37">
            <v>2643</v>
          </cell>
          <cell r="I37">
            <v>51.821712819888205</v>
          </cell>
          <cell r="J37">
            <v>1.2955428204972053</v>
          </cell>
          <cell r="K37">
            <v>1.2955428204972053</v>
          </cell>
          <cell r="L37">
            <v>25.910856409944103</v>
          </cell>
        </row>
      </sheetData>
      <sheetData sheetId="18">
        <row r="2">
          <cell r="D2" t="str">
            <v>27-05-2026 to 02-06-2026</v>
          </cell>
          <cell r="E2" t="str">
            <v>FROM 27-05-2026 TO 02-06-2026 - (5 % Marks)</v>
          </cell>
        </row>
        <row r="3">
          <cell r="C3" t="str">
            <v>PS NAME</v>
          </cell>
          <cell r="D3" t="str">
            <v>E Office Name</v>
          </cell>
          <cell r="E3" t="str">
            <v>Opening Balance
(Inbox + Created)</v>
          </cell>
          <cell r="F3" t="str">
            <v>Opening Balance
(Parked Only)</v>
          </cell>
          <cell r="G3" t="str">
            <v>Files
Created</v>
          </cell>
          <cell r="H3" t="str">
            <v>Files
Received</v>
          </cell>
          <cell r="I3" t="str">
            <v>Files
 UnParked</v>
          </cell>
          <cell r="J3" t="str">
            <v>Files Disposed</v>
          </cell>
          <cell r="M3" t="str">
            <v>Average Response time (Days HH:MM:SS)</v>
          </cell>
          <cell r="N3" t="str">
            <v>Raw Value</v>
          </cell>
          <cell r="O3" t="str">
            <v>HELPER</v>
          </cell>
          <cell r="P3" t="str">
            <v>Marks</v>
          </cell>
        </row>
        <row r="4">
          <cell r="J4" t="str">
            <v>(A)
Forwarded/
Closed/Merged</v>
          </cell>
          <cell r="K4" t="str">
            <v>(B)
Parked</v>
          </cell>
          <cell r="L4" t="str">
            <v>C=(A+B)
Forwarded+Closed
+Merged
+Parked</v>
          </cell>
        </row>
        <row r="5">
          <cell r="C5">
            <v>2</v>
          </cell>
          <cell r="D5">
            <v>4</v>
          </cell>
          <cell r="E5">
            <v>3</v>
          </cell>
          <cell r="F5">
            <v>4</v>
          </cell>
          <cell r="G5">
            <v>5</v>
          </cell>
          <cell r="H5">
            <v>6</v>
          </cell>
          <cell r="I5">
            <v>7</v>
          </cell>
          <cell r="J5">
            <v>8</v>
          </cell>
          <cell r="K5">
            <v>9</v>
          </cell>
          <cell r="L5">
            <v>10</v>
          </cell>
          <cell r="M5">
            <v>11</v>
          </cell>
          <cell r="N5">
            <v>12</v>
          </cell>
          <cell r="O5">
            <v>15</v>
          </cell>
          <cell r="P5">
            <v>15</v>
          </cell>
        </row>
        <row r="6">
          <cell r="C6" t="str">
            <v>Panjani</v>
          </cell>
          <cell r="D6" t="str">
            <v>PANJANI PS</v>
          </cell>
          <cell r="E6">
            <v>5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1</v>
          </cell>
          <cell r="K6">
            <v>0</v>
          </cell>
          <cell r="L6">
            <v>1</v>
          </cell>
          <cell r="M6" t="str">
            <v>6 days 00:34:16</v>
          </cell>
          <cell r="N6">
            <v>0</v>
          </cell>
          <cell r="O6">
            <v>6.0237962962962959</v>
          </cell>
          <cell r="P6">
            <v>0</v>
          </cell>
        </row>
        <row r="7">
          <cell r="C7" t="str">
            <v>Palamaner UPS</v>
          </cell>
          <cell r="D7" t="str">
            <v>PALAMANER UPS</v>
          </cell>
          <cell r="E7">
            <v>14</v>
          </cell>
          <cell r="F7">
            <v>7</v>
          </cell>
          <cell r="G7">
            <v>0</v>
          </cell>
          <cell r="H7">
            <v>2</v>
          </cell>
          <cell r="I7">
            <v>0</v>
          </cell>
          <cell r="J7">
            <v>0</v>
          </cell>
          <cell r="K7">
            <v>2</v>
          </cell>
          <cell r="L7">
            <v>2</v>
          </cell>
          <cell r="M7" t="str">
            <v>4 days 14:03:32</v>
          </cell>
          <cell r="N7">
            <v>23.93</v>
          </cell>
          <cell r="O7">
            <v>4.5857870370370373</v>
          </cell>
          <cell r="P7">
            <v>1.1965000000000001</v>
          </cell>
        </row>
        <row r="8">
          <cell r="C8" t="str">
            <v>CCS Chittoor UPS</v>
          </cell>
          <cell r="D8" t="str">
            <v>CCS CTR</v>
          </cell>
          <cell r="E8">
            <v>10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2</v>
          </cell>
          <cell r="K8">
            <v>0</v>
          </cell>
          <cell r="L8">
            <v>2</v>
          </cell>
          <cell r="M8" t="str">
            <v>4 days 00:58:59</v>
          </cell>
          <cell r="N8">
            <v>32.99</v>
          </cell>
          <cell r="O8">
            <v>4.0409606481481486</v>
          </cell>
          <cell r="P8">
            <v>1.6495000000000002</v>
          </cell>
        </row>
        <row r="9">
          <cell r="C9" t="str">
            <v>Mahila UPS, Chittoor</v>
          </cell>
          <cell r="D9" t="str">
            <v>MAHILA PS</v>
          </cell>
          <cell r="E9">
            <v>2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1</v>
          </cell>
          <cell r="K9">
            <v>0</v>
          </cell>
          <cell r="L9">
            <v>1</v>
          </cell>
          <cell r="M9" t="str">
            <v>3 days 23:38:40</v>
          </cell>
          <cell r="N9">
            <v>33.92</v>
          </cell>
          <cell r="O9">
            <v>3.9851851851851849</v>
          </cell>
          <cell r="P9">
            <v>1.6960000000000002</v>
          </cell>
        </row>
        <row r="10">
          <cell r="C10" t="str">
            <v>V.Kota UPS</v>
          </cell>
          <cell r="D10" t="str">
            <v>V.KOTA UPS</v>
          </cell>
          <cell r="E10">
            <v>23</v>
          </cell>
          <cell r="F10">
            <v>4</v>
          </cell>
          <cell r="G10">
            <v>1</v>
          </cell>
          <cell r="H10">
            <v>7</v>
          </cell>
          <cell r="I10">
            <v>0</v>
          </cell>
          <cell r="J10">
            <v>2</v>
          </cell>
          <cell r="K10">
            <v>6</v>
          </cell>
          <cell r="L10">
            <v>8</v>
          </cell>
          <cell r="M10" t="str">
            <v>2 days 05:39:30</v>
          </cell>
          <cell r="N10">
            <v>63.03</v>
          </cell>
          <cell r="O10">
            <v>2.2357638888888891</v>
          </cell>
          <cell r="P10">
            <v>3.1515000000000004</v>
          </cell>
        </row>
        <row r="11">
          <cell r="C11" t="str">
            <v>Kanipakam</v>
          </cell>
          <cell r="D11" t="str">
            <v>KANIPAKAM PS</v>
          </cell>
          <cell r="E11">
            <v>11</v>
          </cell>
          <cell r="F11">
            <v>0</v>
          </cell>
          <cell r="G11">
            <v>2</v>
          </cell>
          <cell r="H11">
            <v>1</v>
          </cell>
          <cell r="I11">
            <v>0</v>
          </cell>
          <cell r="J11">
            <v>4</v>
          </cell>
          <cell r="K11">
            <v>0</v>
          </cell>
          <cell r="L11">
            <v>4</v>
          </cell>
          <cell r="M11" t="str">
            <v>1 days 19:41:18</v>
          </cell>
          <cell r="N11">
            <v>69.94</v>
          </cell>
          <cell r="O11">
            <v>1.8203472222222223</v>
          </cell>
          <cell r="P11">
            <v>3.4969999999999999</v>
          </cell>
        </row>
        <row r="12">
          <cell r="C12" t="str">
            <v>Rallabudugur</v>
          </cell>
          <cell r="D12" t="str">
            <v>RALLABUDUGUR PS</v>
          </cell>
          <cell r="E12">
            <v>13</v>
          </cell>
          <cell r="F12">
            <v>3</v>
          </cell>
          <cell r="G12">
            <v>2</v>
          </cell>
          <cell r="H12">
            <v>1</v>
          </cell>
          <cell r="I12">
            <v>0</v>
          </cell>
          <cell r="J12">
            <v>6</v>
          </cell>
          <cell r="K12">
            <v>0</v>
          </cell>
          <cell r="L12">
            <v>6</v>
          </cell>
          <cell r="M12" t="str">
            <v>1 days 19:41:02</v>
          </cell>
          <cell r="N12">
            <v>69.94</v>
          </cell>
          <cell r="O12">
            <v>1.8201620370370371</v>
          </cell>
          <cell r="P12">
            <v>3.4969999999999999</v>
          </cell>
        </row>
        <row r="13">
          <cell r="C13" t="str">
            <v>Ramakuppam</v>
          </cell>
          <cell r="D13" t="str">
            <v>RAMAKUPPAM PS</v>
          </cell>
          <cell r="E13">
            <v>17</v>
          </cell>
          <cell r="F13">
            <v>0</v>
          </cell>
          <cell r="G13">
            <v>4</v>
          </cell>
          <cell r="H13">
            <v>2</v>
          </cell>
          <cell r="I13">
            <v>0</v>
          </cell>
          <cell r="J13">
            <v>9</v>
          </cell>
          <cell r="K13">
            <v>0</v>
          </cell>
          <cell r="L13">
            <v>9</v>
          </cell>
          <cell r="M13" t="str">
            <v>1 days 17:12:58</v>
          </cell>
          <cell r="N13">
            <v>71.650000000000006</v>
          </cell>
          <cell r="O13">
            <v>1.7173379629629628</v>
          </cell>
          <cell r="P13">
            <v>3.5825000000000005</v>
          </cell>
        </row>
        <row r="14">
          <cell r="C14" t="str">
            <v>Thavanampalle</v>
          </cell>
          <cell r="D14" t="str">
            <v>THAVANAMPALLI PS</v>
          </cell>
          <cell r="E14">
            <v>11</v>
          </cell>
          <cell r="F14">
            <v>0</v>
          </cell>
          <cell r="G14">
            <v>3</v>
          </cell>
          <cell r="H14">
            <v>0</v>
          </cell>
          <cell r="I14">
            <v>0</v>
          </cell>
          <cell r="J14">
            <v>5</v>
          </cell>
          <cell r="K14">
            <v>0</v>
          </cell>
          <cell r="L14">
            <v>5</v>
          </cell>
          <cell r="M14" t="str">
            <v>1 days 13:08:27</v>
          </cell>
          <cell r="N14">
            <v>74.48</v>
          </cell>
          <cell r="O14">
            <v>1.5475347222222222</v>
          </cell>
          <cell r="P14">
            <v>3.7240000000000002</v>
          </cell>
        </row>
        <row r="15">
          <cell r="C15" t="str">
            <v>Chittoor Taluk PS</v>
          </cell>
          <cell r="D15" t="str">
            <v>CTR TALUK PS</v>
          </cell>
          <cell r="E15">
            <v>1</v>
          </cell>
          <cell r="F15">
            <v>0</v>
          </cell>
          <cell r="G15">
            <v>1</v>
          </cell>
          <cell r="H15">
            <v>1</v>
          </cell>
          <cell r="I15">
            <v>0</v>
          </cell>
          <cell r="J15">
            <v>3</v>
          </cell>
          <cell r="K15">
            <v>0</v>
          </cell>
          <cell r="L15">
            <v>3</v>
          </cell>
          <cell r="M15" t="str">
            <v>1 days 12:03:24</v>
          </cell>
          <cell r="N15">
            <v>75.23</v>
          </cell>
          <cell r="O15">
            <v>1.502361111111111</v>
          </cell>
          <cell r="P15">
            <v>3.7615000000000003</v>
          </cell>
        </row>
        <row r="16">
          <cell r="C16" t="str">
            <v>Gangavaram UPS</v>
          </cell>
          <cell r="D16" t="str">
            <v>GANGAVARAM UPS</v>
          </cell>
          <cell r="E16">
            <v>11</v>
          </cell>
          <cell r="F16">
            <v>0</v>
          </cell>
          <cell r="G16">
            <v>4</v>
          </cell>
          <cell r="H16">
            <v>5</v>
          </cell>
          <cell r="I16">
            <v>0</v>
          </cell>
          <cell r="J16">
            <v>9</v>
          </cell>
          <cell r="K16">
            <v>1</v>
          </cell>
          <cell r="L16">
            <v>10</v>
          </cell>
          <cell r="M16" t="str">
            <v>1 days 03:28:14</v>
          </cell>
          <cell r="N16">
            <v>81.180000000000007</v>
          </cell>
          <cell r="O16">
            <v>1.1446064814814814</v>
          </cell>
          <cell r="P16">
            <v>4.0590000000000002</v>
          </cell>
        </row>
        <row r="17">
          <cell r="C17" t="str">
            <v>G.D.Nellore UPS</v>
          </cell>
          <cell r="D17" t="str">
            <v>GD NELLORE UPS</v>
          </cell>
          <cell r="E17">
            <v>17</v>
          </cell>
          <cell r="F17">
            <v>0</v>
          </cell>
          <cell r="G17">
            <v>1</v>
          </cell>
          <cell r="H17">
            <v>3</v>
          </cell>
          <cell r="I17">
            <v>0</v>
          </cell>
          <cell r="J17">
            <v>4</v>
          </cell>
          <cell r="K17">
            <v>0</v>
          </cell>
          <cell r="L17">
            <v>4</v>
          </cell>
          <cell r="M17" t="str">
            <v>0 days 22:00:13</v>
          </cell>
          <cell r="N17">
            <v>84.97</v>
          </cell>
          <cell r="O17">
            <v>0.91681712962962958</v>
          </cell>
          <cell r="P17">
            <v>4.2484999999999999</v>
          </cell>
        </row>
        <row r="18">
          <cell r="C18" t="str">
            <v>Narsingarayanipet(N.R.Pet)</v>
          </cell>
          <cell r="D18" t="str">
            <v>NR PETA PS</v>
          </cell>
          <cell r="E18">
            <v>1</v>
          </cell>
          <cell r="F18">
            <v>0</v>
          </cell>
          <cell r="G18">
            <v>9</v>
          </cell>
          <cell r="H18">
            <v>6</v>
          </cell>
          <cell r="I18">
            <v>0</v>
          </cell>
          <cell r="J18">
            <v>15</v>
          </cell>
          <cell r="K18">
            <v>1</v>
          </cell>
          <cell r="L18">
            <v>16</v>
          </cell>
          <cell r="M18" t="str">
            <v>0 days 21:08:22</v>
          </cell>
          <cell r="N18">
            <v>85.57</v>
          </cell>
          <cell r="O18">
            <v>0.88081018518518517</v>
          </cell>
          <cell r="P18">
            <v>4.2785000000000002</v>
          </cell>
        </row>
        <row r="19">
          <cell r="C19" t="str">
            <v>Vedurukuppam</v>
          </cell>
          <cell r="D19" t="str">
            <v>VEDURUKUPPAM PS</v>
          </cell>
          <cell r="E19">
            <v>4</v>
          </cell>
          <cell r="F19">
            <v>0</v>
          </cell>
          <cell r="G19">
            <v>3</v>
          </cell>
          <cell r="H19">
            <v>3</v>
          </cell>
          <cell r="I19">
            <v>0</v>
          </cell>
          <cell r="J19">
            <v>6</v>
          </cell>
          <cell r="K19">
            <v>0</v>
          </cell>
          <cell r="L19">
            <v>6</v>
          </cell>
          <cell r="M19" t="str">
            <v>0 days 19:27:08</v>
          </cell>
          <cell r="N19">
            <v>86.74</v>
          </cell>
          <cell r="O19">
            <v>0.81050925925925921</v>
          </cell>
          <cell r="P19">
            <v>4.3369999999999997</v>
          </cell>
        </row>
        <row r="20">
          <cell r="C20" t="str">
            <v>Yadamari</v>
          </cell>
          <cell r="D20" t="str">
            <v>YADAMARI PS</v>
          </cell>
          <cell r="E20">
            <v>2</v>
          </cell>
          <cell r="F20">
            <v>0</v>
          </cell>
          <cell r="G20">
            <v>3</v>
          </cell>
          <cell r="H20">
            <v>4</v>
          </cell>
          <cell r="I20">
            <v>0</v>
          </cell>
          <cell r="J20">
            <v>6</v>
          </cell>
          <cell r="K20">
            <v>0</v>
          </cell>
          <cell r="L20">
            <v>6</v>
          </cell>
          <cell r="M20" t="str">
            <v>0 days 17:41:56</v>
          </cell>
          <cell r="N20">
            <v>87.96</v>
          </cell>
          <cell r="O20">
            <v>0.73745370370370367</v>
          </cell>
          <cell r="P20">
            <v>4.3979999999999997</v>
          </cell>
        </row>
        <row r="21">
          <cell r="C21" t="str">
            <v>Nagari UPS</v>
          </cell>
          <cell r="D21" t="str">
            <v>NAGARI UPS</v>
          </cell>
          <cell r="E21">
            <v>5</v>
          </cell>
          <cell r="F21">
            <v>0</v>
          </cell>
          <cell r="G21">
            <v>2</v>
          </cell>
          <cell r="H21">
            <v>5</v>
          </cell>
          <cell r="I21">
            <v>0</v>
          </cell>
          <cell r="J21">
            <v>9</v>
          </cell>
          <cell r="K21">
            <v>0</v>
          </cell>
          <cell r="L21">
            <v>9</v>
          </cell>
          <cell r="M21" t="str">
            <v>0 days 17:40:57</v>
          </cell>
          <cell r="N21">
            <v>87.97</v>
          </cell>
          <cell r="O21">
            <v>0.73677083333333337</v>
          </cell>
          <cell r="P21">
            <v>4.3985000000000003</v>
          </cell>
        </row>
        <row r="22">
          <cell r="C22" t="str">
            <v>Baireddypalle</v>
          </cell>
          <cell r="D22" t="str">
            <v>BAIREDDYPALLI PS</v>
          </cell>
          <cell r="E22">
            <v>26</v>
          </cell>
          <cell r="F22">
            <v>0</v>
          </cell>
          <cell r="G22">
            <v>3</v>
          </cell>
          <cell r="H22">
            <v>4</v>
          </cell>
          <cell r="I22">
            <v>0</v>
          </cell>
          <cell r="J22">
            <v>11</v>
          </cell>
          <cell r="K22">
            <v>0</v>
          </cell>
          <cell r="L22">
            <v>11</v>
          </cell>
          <cell r="M22" t="str">
            <v>0 days 16:37:25</v>
          </cell>
          <cell r="N22">
            <v>88.7</v>
          </cell>
          <cell r="O22">
            <v>0.69265046296296295</v>
          </cell>
          <cell r="P22">
            <v>4.4350000000000005</v>
          </cell>
        </row>
        <row r="23">
          <cell r="C23" t="str">
            <v>Chittoor Traffic UPS</v>
          </cell>
          <cell r="D23" t="str">
            <v>CTR TRAFFIC</v>
          </cell>
          <cell r="E23">
            <v>0</v>
          </cell>
          <cell r="F23">
            <v>0</v>
          </cell>
          <cell r="G23">
            <v>2</v>
          </cell>
          <cell r="H23">
            <v>2</v>
          </cell>
          <cell r="I23">
            <v>0</v>
          </cell>
          <cell r="J23">
            <v>4</v>
          </cell>
          <cell r="K23">
            <v>0</v>
          </cell>
          <cell r="L23">
            <v>4</v>
          </cell>
          <cell r="M23" t="str">
            <v>0 days 15:55:29</v>
          </cell>
          <cell r="N23">
            <v>89.19</v>
          </cell>
          <cell r="O23">
            <v>0.66353009259259255</v>
          </cell>
          <cell r="P23">
            <v>4.4595000000000002</v>
          </cell>
        </row>
        <row r="24">
          <cell r="C24" t="str">
            <v>Rompicherla</v>
          </cell>
          <cell r="D24" t="str">
            <v>ROMPICHERLA PS</v>
          </cell>
          <cell r="E24">
            <v>4</v>
          </cell>
          <cell r="F24">
            <v>0</v>
          </cell>
          <cell r="G24">
            <v>1</v>
          </cell>
          <cell r="H24">
            <v>1</v>
          </cell>
          <cell r="I24">
            <v>0</v>
          </cell>
          <cell r="J24">
            <v>2</v>
          </cell>
          <cell r="K24">
            <v>0</v>
          </cell>
          <cell r="L24">
            <v>2</v>
          </cell>
          <cell r="M24" t="str">
            <v>0 days 11:29:43</v>
          </cell>
          <cell r="N24">
            <v>92.26</v>
          </cell>
          <cell r="O24">
            <v>0.47896990740740741</v>
          </cell>
          <cell r="P24">
            <v>4.6130000000000004</v>
          </cell>
        </row>
        <row r="25">
          <cell r="C25" t="str">
            <v>Chittoor II Town UPS</v>
          </cell>
          <cell r="D25" t="str">
            <v>CTR 2 TOWN</v>
          </cell>
          <cell r="E25">
            <v>9</v>
          </cell>
          <cell r="F25">
            <v>4</v>
          </cell>
          <cell r="G25">
            <v>3</v>
          </cell>
          <cell r="H25">
            <v>8</v>
          </cell>
          <cell r="I25">
            <v>0</v>
          </cell>
          <cell r="J25">
            <v>11</v>
          </cell>
          <cell r="K25">
            <v>1</v>
          </cell>
          <cell r="L25">
            <v>12</v>
          </cell>
          <cell r="M25" t="str">
            <v>0 days 09:44:41</v>
          </cell>
          <cell r="N25">
            <v>93.47</v>
          </cell>
          <cell r="O25">
            <v>0.4060300925925926</v>
          </cell>
          <cell r="P25">
            <v>4.6734999999999998</v>
          </cell>
        </row>
        <row r="26">
          <cell r="C26" t="str">
            <v>Gudipala</v>
          </cell>
          <cell r="D26" t="str">
            <v>GUDIPALA PS</v>
          </cell>
          <cell r="E26">
            <v>8</v>
          </cell>
          <cell r="F26">
            <v>0</v>
          </cell>
          <cell r="G26">
            <v>5</v>
          </cell>
          <cell r="H26">
            <v>5</v>
          </cell>
          <cell r="I26">
            <v>0</v>
          </cell>
          <cell r="J26">
            <v>10</v>
          </cell>
          <cell r="K26">
            <v>0</v>
          </cell>
          <cell r="L26">
            <v>10</v>
          </cell>
          <cell r="M26" t="str">
            <v>0 days 08:07:31</v>
          </cell>
          <cell r="N26">
            <v>94.6</v>
          </cell>
          <cell r="O26">
            <v>0.33855324074074072</v>
          </cell>
          <cell r="P26">
            <v>4.7299999999999995</v>
          </cell>
        </row>
        <row r="27">
          <cell r="C27" t="str">
            <v>Gudipalli</v>
          </cell>
          <cell r="D27" t="str">
            <v>GUDUPALLI PS</v>
          </cell>
          <cell r="E27">
            <v>7</v>
          </cell>
          <cell r="F27">
            <v>0</v>
          </cell>
          <cell r="G27">
            <v>4</v>
          </cell>
          <cell r="H27">
            <v>4</v>
          </cell>
          <cell r="I27">
            <v>0</v>
          </cell>
          <cell r="J27">
            <v>8</v>
          </cell>
          <cell r="K27">
            <v>0</v>
          </cell>
          <cell r="L27">
            <v>8</v>
          </cell>
          <cell r="M27" t="str">
            <v>0 days 07:20:48</v>
          </cell>
          <cell r="N27">
            <v>95.14</v>
          </cell>
          <cell r="O27">
            <v>0.30611111111111111</v>
          </cell>
          <cell r="P27">
            <v>4.7570000000000006</v>
          </cell>
        </row>
        <row r="28">
          <cell r="C28" t="str">
            <v>Palasamudram</v>
          </cell>
          <cell r="D28" t="str">
            <v>PALASAMUDRAM PS</v>
          </cell>
          <cell r="E28">
            <v>6</v>
          </cell>
          <cell r="F28">
            <v>0</v>
          </cell>
          <cell r="G28">
            <v>2</v>
          </cell>
          <cell r="H28">
            <v>2</v>
          </cell>
          <cell r="I28">
            <v>0</v>
          </cell>
          <cell r="J28">
            <v>4</v>
          </cell>
          <cell r="K28">
            <v>0</v>
          </cell>
          <cell r="L28">
            <v>4</v>
          </cell>
          <cell r="M28" t="str">
            <v>0 days 04:01:27</v>
          </cell>
          <cell r="N28">
            <v>97.44</v>
          </cell>
          <cell r="O28">
            <v>0.16767361111111112</v>
          </cell>
          <cell r="P28">
            <v>4.8719999999999999</v>
          </cell>
        </row>
        <row r="29">
          <cell r="C29" t="str">
            <v>Puthalapattu UPS</v>
          </cell>
          <cell r="D29" t="str">
            <v>PUTHALAPATTU UPS</v>
          </cell>
          <cell r="E29">
            <v>13</v>
          </cell>
          <cell r="F29">
            <v>0</v>
          </cell>
          <cell r="G29">
            <v>2</v>
          </cell>
          <cell r="H29">
            <v>4</v>
          </cell>
          <cell r="I29">
            <v>0</v>
          </cell>
          <cell r="J29">
            <v>6</v>
          </cell>
          <cell r="K29">
            <v>0</v>
          </cell>
          <cell r="L29">
            <v>6</v>
          </cell>
          <cell r="M29" t="str">
            <v>0 days 03:44:08</v>
          </cell>
          <cell r="N29">
            <v>97.64</v>
          </cell>
          <cell r="O29">
            <v>0.15564814814814815</v>
          </cell>
          <cell r="P29">
            <v>4.8820000000000006</v>
          </cell>
        </row>
        <row r="30">
          <cell r="C30" t="str">
            <v>Chittoor I Town UPS</v>
          </cell>
          <cell r="D30" t="str">
            <v>CTR 1 TOWN UPS</v>
          </cell>
          <cell r="E30">
            <v>0</v>
          </cell>
          <cell r="F30">
            <v>0</v>
          </cell>
          <cell r="G30">
            <v>7</v>
          </cell>
          <cell r="H30">
            <v>7</v>
          </cell>
          <cell r="I30">
            <v>0</v>
          </cell>
          <cell r="J30">
            <v>14</v>
          </cell>
          <cell r="K30">
            <v>0</v>
          </cell>
          <cell r="L30">
            <v>14</v>
          </cell>
          <cell r="M30" t="str">
            <v>0 days 00:53:29</v>
          </cell>
          <cell r="N30">
            <v>99.61</v>
          </cell>
          <cell r="O30">
            <v>3.7141203703703704E-2</v>
          </cell>
          <cell r="P30">
            <v>4.9805000000000001</v>
          </cell>
        </row>
        <row r="31">
          <cell r="C31" t="str">
            <v>Penumur</v>
          </cell>
          <cell r="D31" t="str">
            <v>PENUMUR PS</v>
          </cell>
          <cell r="E31">
            <v>2</v>
          </cell>
          <cell r="F31">
            <v>0</v>
          </cell>
          <cell r="G31">
            <v>4</v>
          </cell>
          <cell r="H31">
            <v>1</v>
          </cell>
          <cell r="I31">
            <v>0</v>
          </cell>
          <cell r="J31">
            <v>5</v>
          </cell>
          <cell r="K31">
            <v>0</v>
          </cell>
          <cell r="L31">
            <v>5</v>
          </cell>
          <cell r="M31" t="str">
            <v>0 days 00:19:50</v>
          </cell>
          <cell r="N31">
            <v>100</v>
          </cell>
          <cell r="O31">
            <v>1.3773148148148149E-2</v>
          </cell>
          <cell r="P31">
            <v>5</v>
          </cell>
        </row>
        <row r="32">
          <cell r="C32" t="str">
            <v>Bangarupalem UPS</v>
          </cell>
          <cell r="D32" t="str">
            <v>BANGARUPALEM UPS</v>
          </cell>
          <cell r="E32">
            <v>6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50</v>
          </cell>
          <cell r="O32" t="str">
            <v/>
          </cell>
          <cell r="P32">
            <v>2.5</v>
          </cell>
        </row>
        <row r="33">
          <cell r="C33" t="str">
            <v>Irala</v>
          </cell>
          <cell r="D33" t="str">
            <v>IRALA PS</v>
          </cell>
          <cell r="E33">
            <v>4</v>
          </cell>
          <cell r="F33">
            <v>1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50</v>
          </cell>
          <cell r="O33" t="str">
            <v/>
          </cell>
          <cell r="P33">
            <v>2.5</v>
          </cell>
        </row>
        <row r="34">
          <cell r="C34" t="str">
            <v>K. Nagar</v>
          </cell>
          <cell r="D34" t="str">
            <v>K.NAGAR PS</v>
          </cell>
          <cell r="E34">
            <v>7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50</v>
          </cell>
          <cell r="O34" t="str">
            <v/>
          </cell>
          <cell r="P34">
            <v>2.5</v>
          </cell>
        </row>
        <row r="35">
          <cell r="C35" t="str">
            <v>Nindra</v>
          </cell>
          <cell r="D35" t="str">
            <v>NINDRA PS</v>
          </cell>
          <cell r="E35">
            <v>5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50</v>
          </cell>
          <cell r="O35" t="str">
            <v/>
          </cell>
          <cell r="P35">
            <v>2.5</v>
          </cell>
        </row>
        <row r="36">
          <cell r="C36" t="str">
            <v>S.R.Puram</v>
          </cell>
          <cell r="D36" t="str">
            <v>SR PURAM PS</v>
          </cell>
          <cell r="E36">
            <v>6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50</v>
          </cell>
          <cell r="O36" t="str">
            <v/>
          </cell>
          <cell r="P36">
            <v>2.5</v>
          </cell>
        </row>
        <row r="37">
          <cell r="C37" t="str">
            <v>Vijayapuram</v>
          </cell>
          <cell r="D37" t="str">
            <v>VIJAYAPURAM PS</v>
          </cell>
          <cell r="E37">
            <v>15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50</v>
          </cell>
          <cell r="O37" t="str">
            <v/>
          </cell>
          <cell r="P37">
            <v>2.5</v>
          </cell>
        </row>
        <row r="38">
          <cell r="C38" t="str">
            <v>Kallur</v>
          </cell>
          <cell r="D38" t="str">
            <v>KALLUR PS</v>
          </cell>
          <cell r="E38">
            <v>5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50</v>
          </cell>
          <cell r="O38" t="str">
            <v/>
          </cell>
          <cell r="P38">
            <v>2.5</v>
          </cell>
        </row>
        <row r="39">
          <cell r="C39" t="str">
            <v>Kuppam UPS</v>
          </cell>
          <cell r="D39" t="str">
            <v>KUPPAM UPS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50</v>
          </cell>
          <cell r="O39" t="str">
            <v/>
          </cell>
          <cell r="P39">
            <v>2.5</v>
          </cell>
        </row>
      </sheetData>
      <sheetData sheetId="19">
        <row r="2">
          <cell r="B2" t="str">
            <v>Unit</v>
          </cell>
          <cell r="C2" t="str">
            <v>Total Employees</v>
          </cell>
          <cell r="D2" t="str">
            <v>No.of Mobile App Downloads</v>
          </cell>
          <cell r="E2" t="str">
            <v>APP Download
Raw Value</v>
          </cell>
          <cell r="F2" t="str">
            <v>Marks
for App (2.5)</v>
          </cell>
          <cell r="G2" t="str">
            <v>Total APRs Submitted</v>
          </cell>
          <cell r="H2" t="str">
            <v>APR Raw Value</v>
          </cell>
          <cell r="I2" t="str">
            <v>Marks for APR 
(2.5)</v>
          </cell>
          <cell r="J2" t="str">
            <v>Total Marks
(5)</v>
          </cell>
          <cell r="K2" t="str">
            <v>Final Raw Value</v>
          </cell>
        </row>
        <row r="3">
          <cell r="B3" t="str">
            <v>Nagari UPS</v>
          </cell>
          <cell r="C3">
            <v>12</v>
          </cell>
          <cell r="D3">
            <v>8</v>
          </cell>
          <cell r="E3">
            <v>66.666666666666671</v>
          </cell>
          <cell r="F3">
            <v>1.666666666666667</v>
          </cell>
          <cell r="G3">
            <v>12</v>
          </cell>
          <cell r="H3">
            <v>100</v>
          </cell>
          <cell r="I3">
            <v>2.5</v>
          </cell>
          <cell r="J3">
            <v>4.166666666666667</v>
          </cell>
          <cell r="K3">
            <v>83.333333333333343</v>
          </cell>
        </row>
        <row r="4">
          <cell r="B4" t="str">
            <v>Vedurukuppam</v>
          </cell>
          <cell r="C4">
            <v>21</v>
          </cell>
          <cell r="D4">
            <v>21</v>
          </cell>
          <cell r="E4">
            <v>100</v>
          </cell>
          <cell r="F4">
            <v>2.5</v>
          </cell>
          <cell r="G4">
            <v>12</v>
          </cell>
          <cell r="H4">
            <v>57.142857142857146</v>
          </cell>
          <cell r="I4">
            <v>1.4285714285714288</v>
          </cell>
          <cell r="J4">
            <v>3.9285714285714288</v>
          </cell>
          <cell r="K4">
            <v>78.571428571428569</v>
          </cell>
        </row>
        <row r="5">
          <cell r="B5" t="str">
            <v>Gangavaram UPS</v>
          </cell>
          <cell r="C5">
            <v>15</v>
          </cell>
          <cell r="D5">
            <v>11</v>
          </cell>
          <cell r="E5">
            <v>73.333333333333329</v>
          </cell>
          <cell r="F5">
            <v>1.8333333333333333</v>
          </cell>
          <cell r="G5">
            <v>10</v>
          </cell>
          <cell r="H5">
            <v>66.666666666666671</v>
          </cell>
          <cell r="I5">
            <v>1.666666666666667</v>
          </cell>
          <cell r="J5">
            <v>3.5</v>
          </cell>
          <cell r="K5">
            <v>70</v>
          </cell>
        </row>
        <row r="6">
          <cell r="B6" t="str">
            <v>K. Nagar</v>
          </cell>
          <cell r="C6">
            <v>37</v>
          </cell>
          <cell r="D6">
            <v>32</v>
          </cell>
          <cell r="E6">
            <v>86.486486486486484</v>
          </cell>
          <cell r="F6">
            <v>2.1621621621621623</v>
          </cell>
          <cell r="G6">
            <v>13</v>
          </cell>
          <cell r="H6">
            <v>35.135135135135137</v>
          </cell>
          <cell r="I6">
            <v>0.87837837837837851</v>
          </cell>
          <cell r="J6">
            <v>3.0405405405405408</v>
          </cell>
          <cell r="K6">
            <v>60.810810810810807</v>
          </cell>
        </row>
        <row r="7">
          <cell r="B7" t="str">
            <v>Chittoor Taluk PS</v>
          </cell>
          <cell r="C7">
            <v>44</v>
          </cell>
          <cell r="D7">
            <v>37</v>
          </cell>
          <cell r="E7">
            <v>84.090909090909093</v>
          </cell>
          <cell r="F7">
            <v>2.1022727272727275</v>
          </cell>
          <cell r="G7">
            <v>16</v>
          </cell>
          <cell r="H7">
            <v>36.363636363636367</v>
          </cell>
          <cell r="I7">
            <v>0.90909090909090917</v>
          </cell>
          <cell r="J7">
            <v>3.0113636363636367</v>
          </cell>
          <cell r="K7">
            <v>60.227272727272734</v>
          </cell>
        </row>
        <row r="8">
          <cell r="B8" t="str">
            <v>Irala</v>
          </cell>
          <cell r="C8">
            <v>35</v>
          </cell>
          <cell r="D8">
            <v>30</v>
          </cell>
          <cell r="E8">
            <v>85.714285714285708</v>
          </cell>
          <cell r="F8">
            <v>2.1428571428571428</v>
          </cell>
          <cell r="G8">
            <v>12</v>
          </cell>
          <cell r="H8">
            <v>34.285714285714285</v>
          </cell>
          <cell r="I8">
            <v>0.85714285714285721</v>
          </cell>
          <cell r="J8">
            <v>3</v>
          </cell>
          <cell r="K8">
            <v>60</v>
          </cell>
        </row>
        <row r="9">
          <cell r="B9" t="str">
            <v>Palamaner UPS</v>
          </cell>
          <cell r="C9">
            <v>60</v>
          </cell>
          <cell r="D9">
            <v>50</v>
          </cell>
          <cell r="E9">
            <v>83.333333333333329</v>
          </cell>
          <cell r="F9">
            <v>2.0833333333333335</v>
          </cell>
          <cell r="G9">
            <v>19</v>
          </cell>
          <cell r="H9">
            <v>31.666666666666668</v>
          </cell>
          <cell r="I9">
            <v>0.79166666666666674</v>
          </cell>
          <cell r="J9">
            <v>2.875</v>
          </cell>
          <cell r="K9">
            <v>57.5</v>
          </cell>
        </row>
        <row r="10">
          <cell r="B10" t="str">
            <v>Kuppam UPS</v>
          </cell>
          <cell r="C10">
            <v>45</v>
          </cell>
          <cell r="D10">
            <v>36</v>
          </cell>
          <cell r="E10">
            <v>80</v>
          </cell>
          <cell r="F10">
            <v>2</v>
          </cell>
          <cell r="G10">
            <v>14</v>
          </cell>
          <cell r="H10">
            <v>31.111111111111111</v>
          </cell>
          <cell r="I10">
            <v>0.77777777777777779</v>
          </cell>
          <cell r="J10">
            <v>2.7777777777777777</v>
          </cell>
          <cell r="K10">
            <v>55.555555555555557</v>
          </cell>
        </row>
        <row r="11">
          <cell r="B11" t="str">
            <v>Rallabudugur</v>
          </cell>
          <cell r="C11">
            <v>24</v>
          </cell>
          <cell r="D11">
            <v>15</v>
          </cell>
          <cell r="E11">
            <v>62.5</v>
          </cell>
          <cell r="F11">
            <v>1.5625</v>
          </cell>
          <cell r="G11">
            <v>11</v>
          </cell>
          <cell r="H11">
            <v>45.833333333333336</v>
          </cell>
          <cell r="I11">
            <v>1.1458333333333335</v>
          </cell>
          <cell r="J11">
            <v>2.7083333333333335</v>
          </cell>
          <cell r="K11">
            <v>54.166666666666671</v>
          </cell>
        </row>
        <row r="12">
          <cell r="B12" t="str">
            <v>Vijayapuram</v>
          </cell>
          <cell r="C12">
            <v>34</v>
          </cell>
          <cell r="D12">
            <v>19</v>
          </cell>
          <cell r="E12">
            <v>55.882352941176471</v>
          </cell>
          <cell r="F12">
            <v>1.3970588235294119</v>
          </cell>
          <cell r="G12">
            <v>17</v>
          </cell>
          <cell r="H12">
            <v>50</v>
          </cell>
          <cell r="I12">
            <v>1.25</v>
          </cell>
          <cell r="J12">
            <v>2.6470588235294121</v>
          </cell>
          <cell r="K12">
            <v>52.941176470588232</v>
          </cell>
        </row>
        <row r="13">
          <cell r="B13" t="str">
            <v>Panjani</v>
          </cell>
          <cell r="C13">
            <v>33</v>
          </cell>
          <cell r="D13">
            <v>23</v>
          </cell>
          <cell r="E13">
            <v>69.696969696969703</v>
          </cell>
          <cell r="F13">
            <v>1.7424242424242427</v>
          </cell>
          <cell r="G13">
            <v>10</v>
          </cell>
          <cell r="H13">
            <v>30.303030303030305</v>
          </cell>
          <cell r="I13">
            <v>0.75757575757575768</v>
          </cell>
          <cell r="J13">
            <v>2.5000000000000004</v>
          </cell>
          <cell r="K13">
            <v>50</v>
          </cell>
        </row>
        <row r="14">
          <cell r="B14" t="str">
            <v>S.R.Puram</v>
          </cell>
          <cell r="C14">
            <v>18</v>
          </cell>
          <cell r="D14">
            <v>17</v>
          </cell>
          <cell r="E14">
            <v>94.444444444444443</v>
          </cell>
          <cell r="F14">
            <v>2.3611111111111112</v>
          </cell>
          <cell r="G14">
            <v>1</v>
          </cell>
          <cell r="H14">
            <v>5.5555555555555554</v>
          </cell>
          <cell r="I14">
            <v>0.1388888888888889</v>
          </cell>
          <cell r="J14">
            <v>2.5</v>
          </cell>
          <cell r="K14">
            <v>50</v>
          </cell>
        </row>
        <row r="15">
          <cell r="B15" t="str">
            <v>Bangarupalem UPS</v>
          </cell>
          <cell r="C15">
            <v>39</v>
          </cell>
          <cell r="D15">
            <v>25</v>
          </cell>
          <cell r="E15">
            <v>64.102564102564102</v>
          </cell>
          <cell r="F15">
            <v>1.6025641025641026</v>
          </cell>
          <cell r="G15">
            <v>11</v>
          </cell>
          <cell r="H15">
            <v>28.205128205128204</v>
          </cell>
          <cell r="I15">
            <v>0.70512820512820518</v>
          </cell>
          <cell r="J15">
            <v>2.3076923076923079</v>
          </cell>
          <cell r="K15">
            <v>46.153846153846153</v>
          </cell>
        </row>
        <row r="16">
          <cell r="B16" t="str">
            <v>Narsingarayanipet(N.R.Pet)</v>
          </cell>
          <cell r="C16">
            <v>49</v>
          </cell>
          <cell r="D16">
            <v>40</v>
          </cell>
          <cell r="E16">
            <v>81.632653061224488</v>
          </cell>
          <cell r="F16">
            <v>2.0408163265306123</v>
          </cell>
          <cell r="G16">
            <v>5</v>
          </cell>
          <cell r="H16">
            <v>10.204081632653061</v>
          </cell>
          <cell r="I16">
            <v>0.25510204081632654</v>
          </cell>
          <cell r="J16">
            <v>2.295918367346939</v>
          </cell>
          <cell r="K16">
            <v>45.918367346938773</v>
          </cell>
        </row>
        <row r="17">
          <cell r="B17" t="str">
            <v>Gudipala</v>
          </cell>
          <cell r="C17">
            <v>30</v>
          </cell>
          <cell r="D17">
            <v>22</v>
          </cell>
          <cell r="E17">
            <v>73.333333333333329</v>
          </cell>
          <cell r="F17">
            <v>1.8333333333333333</v>
          </cell>
          <cell r="G17">
            <v>4</v>
          </cell>
          <cell r="H17">
            <v>13.333333333333334</v>
          </cell>
          <cell r="I17">
            <v>0.33333333333333337</v>
          </cell>
          <cell r="J17">
            <v>2.1666666666666665</v>
          </cell>
          <cell r="K17">
            <v>43.333333333333329</v>
          </cell>
        </row>
        <row r="18">
          <cell r="B18" t="str">
            <v>Chittoor Traffic UPS</v>
          </cell>
          <cell r="C18">
            <v>19</v>
          </cell>
          <cell r="D18">
            <v>15</v>
          </cell>
          <cell r="E18">
            <v>78.94736842105263</v>
          </cell>
          <cell r="F18">
            <v>1.9736842105263159</v>
          </cell>
          <cell r="G18">
            <v>1</v>
          </cell>
          <cell r="H18">
            <v>5.2631578947368425</v>
          </cell>
          <cell r="I18">
            <v>0.13157894736842107</v>
          </cell>
          <cell r="J18">
            <v>2.1052631578947372</v>
          </cell>
          <cell r="K18">
            <v>42.10526315789474</v>
          </cell>
        </row>
        <row r="19">
          <cell r="B19" t="str">
            <v>CCS Chittoor UPS</v>
          </cell>
          <cell r="C19">
            <v>47</v>
          </cell>
          <cell r="D19">
            <v>25</v>
          </cell>
          <cell r="E19">
            <v>53.191489361702125</v>
          </cell>
          <cell r="F19">
            <v>1.3297872340425532</v>
          </cell>
          <cell r="G19">
            <v>13</v>
          </cell>
          <cell r="H19">
            <v>27.659574468085108</v>
          </cell>
          <cell r="I19">
            <v>0.69148936170212771</v>
          </cell>
          <cell r="J19">
            <v>2.021276595744681</v>
          </cell>
          <cell r="K19">
            <v>40.425531914893618</v>
          </cell>
        </row>
        <row r="20">
          <cell r="B20" t="str">
            <v>Gudipalli</v>
          </cell>
          <cell r="C20">
            <v>32</v>
          </cell>
          <cell r="D20">
            <v>19</v>
          </cell>
          <cell r="E20">
            <v>59.375</v>
          </cell>
          <cell r="F20">
            <v>1.484375</v>
          </cell>
          <cell r="G20">
            <v>6</v>
          </cell>
          <cell r="H20">
            <v>18.75</v>
          </cell>
          <cell r="I20">
            <v>0.46875</v>
          </cell>
          <cell r="J20">
            <v>1.953125</v>
          </cell>
          <cell r="K20">
            <v>39.0625</v>
          </cell>
        </row>
        <row r="21">
          <cell r="B21" t="str">
            <v>Palasamudram</v>
          </cell>
          <cell r="C21">
            <v>48</v>
          </cell>
          <cell r="D21">
            <v>30</v>
          </cell>
          <cell r="E21">
            <v>62.5</v>
          </cell>
          <cell r="F21">
            <v>1.5625</v>
          </cell>
          <cell r="G21">
            <v>5</v>
          </cell>
          <cell r="H21">
            <v>10.416666666666666</v>
          </cell>
          <cell r="I21">
            <v>0.26041666666666669</v>
          </cell>
          <cell r="J21">
            <v>1.8229166666666667</v>
          </cell>
          <cell r="K21">
            <v>36.458333333333336</v>
          </cell>
        </row>
        <row r="22">
          <cell r="B22" t="str">
            <v>Chittoor I Town UPS</v>
          </cell>
          <cell r="C22">
            <v>43</v>
          </cell>
          <cell r="D22">
            <v>23</v>
          </cell>
          <cell r="E22">
            <v>53.488372093023258</v>
          </cell>
          <cell r="F22">
            <v>1.3372093023255816</v>
          </cell>
          <cell r="G22">
            <v>5</v>
          </cell>
          <cell r="H22">
            <v>11.627906976744185</v>
          </cell>
          <cell r="I22">
            <v>0.29069767441860467</v>
          </cell>
          <cell r="J22">
            <v>1.6279069767441863</v>
          </cell>
          <cell r="K22">
            <v>32.558139534883722</v>
          </cell>
        </row>
        <row r="23">
          <cell r="B23" t="str">
            <v>G.D.Nellore UPS</v>
          </cell>
          <cell r="C23">
            <v>43</v>
          </cell>
          <cell r="D23">
            <v>22</v>
          </cell>
          <cell r="E23">
            <v>51.162790697674417</v>
          </cell>
          <cell r="F23">
            <v>1.2790697674418605</v>
          </cell>
          <cell r="G23">
            <v>6</v>
          </cell>
          <cell r="H23">
            <v>13.953488372093023</v>
          </cell>
          <cell r="I23">
            <v>0.34883720930232559</v>
          </cell>
          <cell r="J23">
            <v>1.6279069767441861</v>
          </cell>
          <cell r="K23">
            <v>32.558139534883722</v>
          </cell>
        </row>
        <row r="24">
          <cell r="B24" t="str">
            <v>Ramakuppam</v>
          </cell>
          <cell r="C24">
            <v>45</v>
          </cell>
          <cell r="D24">
            <v>22</v>
          </cell>
          <cell r="E24">
            <v>48.888888888888886</v>
          </cell>
          <cell r="F24">
            <v>1.2222222222222223</v>
          </cell>
          <cell r="G24">
            <v>6</v>
          </cell>
          <cell r="H24">
            <v>13.333333333333334</v>
          </cell>
          <cell r="I24">
            <v>0.33333333333333337</v>
          </cell>
          <cell r="J24">
            <v>1.5555555555555558</v>
          </cell>
          <cell r="K24">
            <v>31.111111111111111</v>
          </cell>
        </row>
        <row r="25">
          <cell r="B25" t="str">
            <v>Chittoor II Town UPS</v>
          </cell>
          <cell r="C25">
            <v>50</v>
          </cell>
          <cell r="D25">
            <v>20</v>
          </cell>
          <cell r="E25">
            <v>40</v>
          </cell>
          <cell r="F25">
            <v>1</v>
          </cell>
          <cell r="G25">
            <v>10</v>
          </cell>
          <cell r="H25">
            <v>20</v>
          </cell>
          <cell r="I25">
            <v>0.5</v>
          </cell>
          <cell r="J25">
            <v>1.5</v>
          </cell>
          <cell r="K25">
            <v>30</v>
          </cell>
        </row>
        <row r="26">
          <cell r="B26" t="str">
            <v>Kallur</v>
          </cell>
          <cell r="C26">
            <v>42</v>
          </cell>
          <cell r="D26">
            <v>6</v>
          </cell>
          <cell r="E26">
            <v>14.285714285714286</v>
          </cell>
          <cell r="F26">
            <v>0.35714285714285721</v>
          </cell>
          <cell r="G26">
            <v>18</v>
          </cell>
          <cell r="H26">
            <v>42.857142857142854</v>
          </cell>
          <cell r="I26">
            <v>1.0714285714285714</v>
          </cell>
          <cell r="J26">
            <v>1.4285714285714286</v>
          </cell>
          <cell r="K26">
            <v>28.571428571428569</v>
          </cell>
        </row>
        <row r="27">
          <cell r="B27" t="str">
            <v>Nindra</v>
          </cell>
          <cell r="C27">
            <v>48</v>
          </cell>
          <cell r="D27">
            <v>16</v>
          </cell>
          <cell r="E27">
            <v>33.333333333333336</v>
          </cell>
          <cell r="F27">
            <v>0.83333333333333348</v>
          </cell>
          <cell r="G27">
            <v>11</v>
          </cell>
          <cell r="H27">
            <v>22.916666666666668</v>
          </cell>
          <cell r="I27">
            <v>0.57291666666666674</v>
          </cell>
          <cell r="J27">
            <v>1.4062500000000002</v>
          </cell>
          <cell r="K27">
            <v>28.125</v>
          </cell>
        </row>
        <row r="28">
          <cell r="B28" t="str">
            <v>Thavanampalle</v>
          </cell>
          <cell r="C28">
            <v>43</v>
          </cell>
          <cell r="D28">
            <v>5</v>
          </cell>
          <cell r="E28">
            <v>11.627906976744185</v>
          </cell>
          <cell r="F28">
            <v>0.29069767441860467</v>
          </cell>
          <cell r="G28">
            <v>18</v>
          </cell>
          <cell r="H28">
            <v>41.860465116279073</v>
          </cell>
          <cell r="I28">
            <v>1.0465116279069768</v>
          </cell>
          <cell r="J28">
            <v>1.3372093023255816</v>
          </cell>
          <cell r="K28">
            <v>26.744186046511629</v>
          </cell>
        </row>
        <row r="29">
          <cell r="B29" t="str">
            <v>Yadamari</v>
          </cell>
          <cell r="C29">
            <v>47</v>
          </cell>
          <cell r="D29">
            <v>17</v>
          </cell>
          <cell r="E29">
            <v>36.170212765957444</v>
          </cell>
          <cell r="F29">
            <v>0.9042553191489362</v>
          </cell>
          <cell r="G29">
            <v>8</v>
          </cell>
          <cell r="H29">
            <v>17.021276595744681</v>
          </cell>
          <cell r="I29">
            <v>0.42553191489361702</v>
          </cell>
          <cell r="J29">
            <v>1.3297872340425532</v>
          </cell>
          <cell r="K29">
            <v>26.595744680851062</v>
          </cell>
        </row>
        <row r="30">
          <cell r="B30" t="str">
            <v>Baireddypalle</v>
          </cell>
          <cell r="C30">
            <v>60</v>
          </cell>
          <cell r="D30">
            <v>24</v>
          </cell>
          <cell r="E30">
            <v>40</v>
          </cell>
          <cell r="F30">
            <v>1</v>
          </cell>
          <cell r="G30">
            <v>7</v>
          </cell>
          <cell r="H30">
            <v>11.666666666666666</v>
          </cell>
          <cell r="I30">
            <v>0.29166666666666669</v>
          </cell>
          <cell r="J30">
            <v>1.2916666666666667</v>
          </cell>
          <cell r="K30">
            <v>25.833333333333332</v>
          </cell>
        </row>
        <row r="31">
          <cell r="B31" t="str">
            <v>Puthalapattu UPS</v>
          </cell>
          <cell r="C31">
            <v>19</v>
          </cell>
          <cell r="D31">
            <v>5</v>
          </cell>
          <cell r="E31">
            <v>26.315789473684209</v>
          </cell>
          <cell r="F31">
            <v>0.65789473684210531</v>
          </cell>
          <cell r="G31">
            <v>4</v>
          </cell>
          <cell r="H31">
            <v>21.05263157894737</v>
          </cell>
          <cell r="I31">
            <v>0.52631578947368429</v>
          </cell>
          <cell r="J31">
            <v>1.1842105263157896</v>
          </cell>
          <cell r="K31">
            <v>23.684210526315788</v>
          </cell>
        </row>
        <row r="32">
          <cell r="B32" t="str">
            <v>Mahila UPS, Chittoor</v>
          </cell>
          <cell r="C32">
            <v>46</v>
          </cell>
          <cell r="D32">
            <v>9</v>
          </cell>
          <cell r="E32">
            <v>19.565217391304348</v>
          </cell>
          <cell r="F32">
            <v>0.4891304347826087</v>
          </cell>
          <cell r="G32">
            <v>12</v>
          </cell>
          <cell r="H32">
            <v>26.086956521739129</v>
          </cell>
          <cell r="I32">
            <v>0.65217391304347827</v>
          </cell>
          <cell r="J32">
            <v>1.1413043478260869</v>
          </cell>
          <cell r="K32">
            <v>22.826086956521738</v>
          </cell>
        </row>
        <row r="33">
          <cell r="B33" t="str">
            <v>Penumur</v>
          </cell>
          <cell r="C33">
            <v>23</v>
          </cell>
          <cell r="D33">
            <v>2</v>
          </cell>
          <cell r="E33">
            <v>8.695652173913043</v>
          </cell>
          <cell r="F33">
            <v>0.21739130434782608</v>
          </cell>
          <cell r="G33">
            <v>7</v>
          </cell>
          <cell r="H33">
            <v>30.434782608695652</v>
          </cell>
          <cell r="I33">
            <v>0.76086956521739135</v>
          </cell>
          <cell r="J33">
            <v>0.97826086956521741</v>
          </cell>
          <cell r="K33">
            <v>19.565217391304348</v>
          </cell>
        </row>
        <row r="34">
          <cell r="B34" t="str">
            <v>Kanipakam</v>
          </cell>
          <cell r="C34">
            <v>49</v>
          </cell>
          <cell r="D34">
            <v>15</v>
          </cell>
          <cell r="E34">
            <v>30.612244897959183</v>
          </cell>
          <cell r="F34">
            <v>0.76530612244897966</v>
          </cell>
          <cell r="G34">
            <v>2</v>
          </cell>
          <cell r="H34">
            <v>4.0816326530612246</v>
          </cell>
          <cell r="I34">
            <v>0.10204081632653061</v>
          </cell>
          <cell r="J34">
            <v>0.86734693877551028</v>
          </cell>
          <cell r="K34">
            <v>17.346938775510203</v>
          </cell>
        </row>
        <row r="35">
          <cell r="B35" t="str">
            <v>Rompicherla</v>
          </cell>
          <cell r="C35">
            <v>42</v>
          </cell>
          <cell r="D35">
            <v>2</v>
          </cell>
          <cell r="E35">
            <v>4.7619047619047619</v>
          </cell>
          <cell r="F35">
            <v>0.11904761904761905</v>
          </cell>
          <cell r="G35">
            <v>12</v>
          </cell>
          <cell r="H35">
            <v>28.571428571428573</v>
          </cell>
          <cell r="I35">
            <v>0.71428571428571441</v>
          </cell>
          <cell r="J35">
            <v>0.83333333333333348</v>
          </cell>
          <cell r="K35">
            <v>16.666666666666668</v>
          </cell>
        </row>
        <row r="36">
          <cell r="B36" t="str">
            <v>V.Kota UPS</v>
          </cell>
          <cell r="C36">
            <v>38</v>
          </cell>
          <cell r="D36">
            <v>7</v>
          </cell>
          <cell r="E36">
            <v>18.421052631578949</v>
          </cell>
          <cell r="F36">
            <v>0.46052631578947373</v>
          </cell>
          <cell r="G36">
            <v>3</v>
          </cell>
          <cell r="H36">
            <v>7.8947368421052628</v>
          </cell>
          <cell r="I36">
            <v>0.19736842105263158</v>
          </cell>
          <cell r="J36">
            <v>0.65789473684210531</v>
          </cell>
          <cell r="K36">
            <v>13.157894736842106</v>
          </cell>
        </row>
        <row r="37">
          <cell r="C37">
            <v>983</v>
          </cell>
          <cell r="D37">
            <v>594</v>
          </cell>
          <cell r="E37">
            <v>60.427263479145473</v>
          </cell>
          <cell r="F37">
            <v>1.362176669381737</v>
          </cell>
          <cell r="G37">
            <v>9.4411764705882355</v>
          </cell>
          <cell r="H37">
            <v>27.978081297792865</v>
          </cell>
          <cell r="I37">
            <v>0.6994520324448219</v>
          </cell>
          <cell r="J37">
            <v>2.0616287018265593</v>
          </cell>
          <cell r="K37">
            <v>44.202672388469168</v>
          </cell>
        </row>
      </sheetData>
      <sheetData sheetId="20">
        <row r="2">
          <cell r="B2" t="str">
            <v>PS</v>
          </cell>
          <cell r="C2" t="str">
            <v>Hours</v>
          </cell>
          <cell r="D2" t="str">
            <v>Minitues</v>
          </cell>
          <cell r="E2" t="str">
            <v>Seconds</v>
          </cell>
          <cell r="F2" t="str">
            <v>Raw Value</v>
          </cell>
          <cell r="G2" t="str">
            <v>Marks</v>
          </cell>
        </row>
        <row r="3">
          <cell r="B3" t="str">
            <v>Kuppam UPS</v>
          </cell>
          <cell r="C3">
            <v>44</v>
          </cell>
          <cell r="D3">
            <v>30</v>
          </cell>
          <cell r="F3">
            <v>100</v>
          </cell>
          <cell r="G3">
            <v>5</v>
          </cell>
        </row>
        <row r="4">
          <cell r="B4" t="str">
            <v>G.D.Nellore UPS</v>
          </cell>
          <cell r="C4">
            <v>39</v>
          </cell>
          <cell r="D4">
            <v>30</v>
          </cell>
          <cell r="F4">
            <v>88.76</v>
          </cell>
          <cell r="G4">
            <v>4.3973836585888915</v>
          </cell>
        </row>
        <row r="5">
          <cell r="B5" t="str">
            <v>Palasamudram</v>
          </cell>
          <cell r="C5">
            <v>37</v>
          </cell>
          <cell r="D5">
            <v>30</v>
          </cell>
          <cell r="F5">
            <v>84.27</v>
          </cell>
          <cell r="G5">
            <v>4.1566588033454854</v>
          </cell>
        </row>
        <row r="6">
          <cell r="B6" t="str">
            <v>Nindra</v>
          </cell>
          <cell r="C6">
            <v>37</v>
          </cell>
          <cell r="F6">
            <v>83.15</v>
          </cell>
          <cell r="G6">
            <v>4.0966116234184007</v>
          </cell>
        </row>
        <row r="7">
          <cell r="B7" t="str">
            <v>Rallabudugur</v>
          </cell>
          <cell r="C7">
            <v>37</v>
          </cell>
          <cell r="F7">
            <v>83.15</v>
          </cell>
          <cell r="G7">
            <v>4.0966116234184007</v>
          </cell>
        </row>
        <row r="8">
          <cell r="B8" t="str">
            <v>Chittoor II Town UPS</v>
          </cell>
          <cell r="C8">
            <v>37</v>
          </cell>
          <cell r="F8">
            <v>83.15</v>
          </cell>
          <cell r="G8">
            <v>4.0966116234184007</v>
          </cell>
        </row>
        <row r="9">
          <cell r="B9" t="str">
            <v>V.Kota UPS</v>
          </cell>
          <cell r="C9">
            <v>34</v>
          </cell>
          <cell r="D9">
            <v>30</v>
          </cell>
          <cell r="F9">
            <v>77.53</v>
          </cell>
          <cell r="G9">
            <v>3.795303452712846</v>
          </cell>
        </row>
        <row r="10">
          <cell r="B10" t="str">
            <v>Gangavaram UPS</v>
          </cell>
          <cell r="C10">
            <v>34</v>
          </cell>
          <cell r="F10">
            <v>76.400000000000006</v>
          </cell>
          <cell r="G10">
            <v>3.7347201372506973</v>
          </cell>
        </row>
        <row r="11">
          <cell r="B11" t="str">
            <v>Vedurukuppam</v>
          </cell>
          <cell r="C11">
            <v>31</v>
          </cell>
          <cell r="F11">
            <v>69.66</v>
          </cell>
          <cell r="G11">
            <v>3.3733647866180565</v>
          </cell>
        </row>
        <row r="12">
          <cell r="B12" t="str">
            <v>Nagari UPS</v>
          </cell>
          <cell r="C12">
            <v>28</v>
          </cell>
          <cell r="F12">
            <v>62.92</v>
          </cell>
          <cell r="G12">
            <v>3.012009435985417</v>
          </cell>
        </row>
        <row r="13">
          <cell r="B13" t="str">
            <v>S.R.Puram</v>
          </cell>
          <cell r="C13">
            <v>28</v>
          </cell>
          <cell r="F13">
            <v>62.92</v>
          </cell>
          <cell r="G13">
            <v>3.012009435985417</v>
          </cell>
        </row>
        <row r="14">
          <cell r="B14" t="str">
            <v>Palamaner UPS</v>
          </cell>
          <cell r="C14">
            <v>25</v>
          </cell>
          <cell r="D14">
            <v>30</v>
          </cell>
          <cell r="F14">
            <v>57.3</v>
          </cell>
          <cell r="G14">
            <v>2.7107012652798623</v>
          </cell>
        </row>
        <row r="15">
          <cell r="B15" t="str">
            <v>Chittoor Taluk PS</v>
          </cell>
          <cell r="C15">
            <v>24</v>
          </cell>
          <cell r="D15">
            <v>30</v>
          </cell>
          <cell r="F15">
            <v>55.06</v>
          </cell>
          <cell r="G15">
            <v>2.5906069054256915</v>
          </cell>
        </row>
        <row r="16">
          <cell r="B16" t="str">
            <v>Bangarupalem UPS</v>
          </cell>
          <cell r="C16">
            <v>19</v>
          </cell>
          <cell r="F16">
            <v>42.7</v>
          </cell>
          <cell r="G16">
            <v>1.9279433840874973</v>
          </cell>
        </row>
        <row r="17">
          <cell r="B17" t="str">
            <v>Yadamari</v>
          </cell>
          <cell r="C17">
            <v>3</v>
          </cell>
          <cell r="F17">
            <v>6.74</v>
          </cell>
          <cell r="G17">
            <v>0</v>
          </cell>
        </row>
        <row r="18">
          <cell r="B18" t="str">
            <v>Vijayapuram</v>
          </cell>
          <cell r="C18">
            <v>3</v>
          </cell>
          <cell r="F18">
            <v>6.74</v>
          </cell>
          <cell r="G18">
            <v>0</v>
          </cell>
        </row>
        <row r="19">
          <cell r="B19" t="str">
            <v>CCS Chittoor UPS</v>
          </cell>
          <cell r="F19" t="str">
            <v>50</v>
          </cell>
          <cell r="G19">
            <v>2.5</v>
          </cell>
        </row>
        <row r="20">
          <cell r="B20" t="str">
            <v>Mahila UPS, Chittoor</v>
          </cell>
          <cell r="F20" t="str">
            <v>50</v>
          </cell>
          <cell r="G20">
            <v>2.5</v>
          </cell>
        </row>
        <row r="21">
          <cell r="B21" t="str">
            <v>Puthalapattu UPS</v>
          </cell>
          <cell r="F21" t="str">
            <v>50</v>
          </cell>
          <cell r="G21">
            <v>2.5</v>
          </cell>
        </row>
        <row r="22">
          <cell r="B22" t="str">
            <v>Gudipala</v>
          </cell>
          <cell r="F22" t="str">
            <v>50</v>
          </cell>
          <cell r="G22">
            <v>2.5</v>
          </cell>
        </row>
        <row r="23">
          <cell r="B23" t="str">
            <v>Penumur</v>
          </cell>
          <cell r="F23" t="str">
            <v>50</v>
          </cell>
          <cell r="G23">
            <v>2.5</v>
          </cell>
        </row>
        <row r="24">
          <cell r="B24" t="str">
            <v>Thavanampalle</v>
          </cell>
          <cell r="F24" t="str">
            <v>50</v>
          </cell>
          <cell r="G24">
            <v>2.5</v>
          </cell>
        </row>
        <row r="25">
          <cell r="B25" t="str">
            <v>K. Nagar</v>
          </cell>
          <cell r="F25" t="str">
            <v>50</v>
          </cell>
          <cell r="G25">
            <v>2.5</v>
          </cell>
        </row>
        <row r="26">
          <cell r="B26" t="str">
            <v>Chittoor Traffic UPS</v>
          </cell>
          <cell r="F26" t="str">
            <v>50</v>
          </cell>
          <cell r="G26">
            <v>2.5</v>
          </cell>
        </row>
        <row r="27">
          <cell r="B27" t="str">
            <v>Kallur</v>
          </cell>
          <cell r="F27" t="str">
            <v>50</v>
          </cell>
          <cell r="G27">
            <v>2.5</v>
          </cell>
        </row>
        <row r="28">
          <cell r="B28" t="str">
            <v>Kanipakam</v>
          </cell>
          <cell r="F28" t="str">
            <v>50</v>
          </cell>
          <cell r="G28">
            <v>2.5</v>
          </cell>
        </row>
        <row r="29">
          <cell r="B29" t="str">
            <v>Chittoor I Town UPS</v>
          </cell>
          <cell r="F29" t="str">
            <v>50</v>
          </cell>
          <cell r="G29">
            <v>2.5</v>
          </cell>
        </row>
        <row r="30">
          <cell r="B30" t="str">
            <v>Gudipalli</v>
          </cell>
          <cell r="F30" t="str">
            <v>50</v>
          </cell>
          <cell r="G30">
            <v>2.5</v>
          </cell>
        </row>
        <row r="31">
          <cell r="B31" t="str">
            <v>Narsingarayanipet(N.R.Pet)</v>
          </cell>
          <cell r="F31" t="str">
            <v>50</v>
          </cell>
          <cell r="G31">
            <v>2.5</v>
          </cell>
        </row>
        <row r="32">
          <cell r="B32" t="str">
            <v>Irala</v>
          </cell>
          <cell r="F32" t="str">
            <v>50</v>
          </cell>
          <cell r="G32">
            <v>2.5</v>
          </cell>
        </row>
        <row r="33">
          <cell r="B33" t="str">
            <v>Baireddypalle</v>
          </cell>
          <cell r="F33" t="str">
            <v>50</v>
          </cell>
          <cell r="G33">
            <v>2.5</v>
          </cell>
        </row>
        <row r="34">
          <cell r="B34" t="str">
            <v>Panjani</v>
          </cell>
          <cell r="F34" t="str">
            <v>50</v>
          </cell>
          <cell r="G34">
            <v>2.5</v>
          </cell>
        </row>
        <row r="35">
          <cell r="B35" t="str">
            <v>Rompicherla</v>
          </cell>
          <cell r="F35" t="str">
            <v>50</v>
          </cell>
          <cell r="G35">
            <v>2.5</v>
          </cell>
        </row>
        <row r="36">
          <cell r="B36" t="str">
            <v>Ramakuppam</v>
          </cell>
          <cell r="F36" t="str">
            <v>50</v>
          </cell>
          <cell r="G36">
            <v>2.5</v>
          </cell>
        </row>
      </sheetData>
      <sheetData sheetId="21"/>
      <sheetData sheetId="22">
        <row r="2">
          <cell r="B2" t="str">
            <v>PS</v>
          </cell>
          <cell r="C2" t="str">
            <v>Total calls Assigned to PS</v>
          </cell>
          <cell r="D2" t="str">
            <v>No. of Calls Assigned to Tabs by PS</v>
          </cell>
          <cell r="E2" t="str">
            <v>No. of Calls not Assigned to Tabs by PS</v>
          </cell>
          <cell r="F2" t="str">
            <v xml:space="preserve"> Average Response Time
(HH:MM:SS)</v>
          </cell>
          <cell r="G2" t="str">
            <v>Raw Value</v>
          </cell>
          <cell r="H2" t="str">
            <v>Marks</v>
          </cell>
        </row>
        <row r="3">
          <cell r="B3" t="str">
            <v>Irala</v>
          </cell>
          <cell r="C3">
            <v>2</v>
          </cell>
          <cell r="D3">
            <v>2</v>
          </cell>
          <cell r="E3">
            <v>0</v>
          </cell>
          <cell r="F3">
            <v>1.9328703703703704E-3</v>
          </cell>
          <cell r="G3">
            <v>100</v>
          </cell>
          <cell r="H3">
            <v>5</v>
          </cell>
        </row>
        <row r="4">
          <cell r="B4" t="str">
            <v>Rompicherla</v>
          </cell>
          <cell r="C4">
            <v>7</v>
          </cell>
          <cell r="D4">
            <v>7</v>
          </cell>
          <cell r="E4">
            <v>0</v>
          </cell>
          <cell r="F4">
            <v>2.8703703703703708E-3</v>
          </cell>
          <cell r="G4">
            <v>95.748031496062993</v>
          </cell>
          <cell r="H4">
            <v>4.78740157480315</v>
          </cell>
        </row>
        <row r="5">
          <cell r="B5" t="str">
            <v>Vedurukuppam</v>
          </cell>
          <cell r="C5">
            <v>9</v>
          </cell>
          <cell r="D5">
            <v>9</v>
          </cell>
          <cell r="E5">
            <v>0</v>
          </cell>
          <cell r="F5">
            <v>3.6689814814814814E-3</v>
          </cell>
          <cell r="G5">
            <v>92.125984251968504</v>
          </cell>
          <cell r="H5">
            <v>4.606299212598425</v>
          </cell>
        </row>
        <row r="6">
          <cell r="B6" t="str">
            <v>Narsingarayanipet(N.R.Pet)</v>
          </cell>
          <cell r="C6">
            <v>2</v>
          </cell>
          <cell r="D6">
            <v>2</v>
          </cell>
          <cell r="E6">
            <v>0</v>
          </cell>
          <cell r="F6">
            <v>3.7731481481481483E-3</v>
          </cell>
          <cell r="G6">
            <v>91.653543307086608</v>
          </cell>
          <cell r="H6">
            <v>4.5826771653543306</v>
          </cell>
        </row>
        <row r="7">
          <cell r="B7" t="str">
            <v>Chittoor Traffic UPS</v>
          </cell>
          <cell r="C7">
            <v>2</v>
          </cell>
          <cell r="D7">
            <v>2</v>
          </cell>
          <cell r="E7">
            <v>0</v>
          </cell>
          <cell r="F7">
            <v>3.8657407407407408E-3</v>
          </cell>
          <cell r="G7">
            <v>91.233595800524938</v>
          </cell>
          <cell r="H7">
            <v>4.5616797900262469</v>
          </cell>
        </row>
        <row r="8">
          <cell r="B8" t="str">
            <v>Bangarupalem UPS</v>
          </cell>
          <cell r="C8">
            <v>12</v>
          </cell>
          <cell r="D8">
            <v>12</v>
          </cell>
          <cell r="E8">
            <v>0</v>
          </cell>
          <cell r="F8">
            <v>4.3981481481481484E-3</v>
          </cell>
          <cell r="G8">
            <v>88.818897637795274</v>
          </cell>
          <cell r="H8">
            <v>4.4409448818897639</v>
          </cell>
        </row>
        <row r="9">
          <cell r="B9" t="str">
            <v>Gudipalli</v>
          </cell>
          <cell r="C9">
            <v>12</v>
          </cell>
          <cell r="D9">
            <v>12</v>
          </cell>
          <cell r="E9">
            <v>0</v>
          </cell>
          <cell r="F9">
            <v>4.3981481481481484E-3</v>
          </cell>
          <cell r="G9">
            <v>88.818897637795274</v>
          </cell>
          <cell r="H9">
            <v>4.4409448818897639</v>
          </cell>
        </row>
        <row r="10">
          <cell r="B10" t="str">
            <v>Chittoor I Town UPS</v>
          </cell>
          <cell r="C10">
            <v>18</v>
          </cell>
          <cell r="D10">
            <v>18</v>
          </cell>
          <cell r="E10">
            <v>0</v>
          </cell>
          <cell r="F10">
            <v>4.6990740740740743E-3</v>
          </cell>
          <cell r="G10">
            <v>87.454068241469813</v>
          </cell>
          <cell r="H10">
            <v>4.3727034120734904</v>
          </cell>
        </row>
        <row r="11">
          <cell r="B11" t="str">
            <v>Chittoor II Town UPS</v>
          </cell>
          <cell r="C11">
            <v>34</v>
          </cell>
          <cell r="D11">
            <v>34</v>
          </cell>
          <cell r="E11">
            <v>0</v>
          </cell>
          <cell r="F11">
            <v>4.7569444444444447E-3</v>
          </cell>
          <cell r="G11">
            <v>87.191601049868765</v>
          </cell>
          <cell r="H11">
            <v>4.3595800524934383</v>
          </cell>
        </row>
        <row r="12">
          <cell r="B12" t="str">
            <v>Nagari UPS</v>
          </cell>
          <cell r="C12">
            <v>15</v>
          </cell>
          <cell r="D12">
            <v>15</v>
          </cell>
          <cell r="E12">
            <v>0</v>
          </cell>
          <cell r="F12">
            <v>4.8148148148148152E-3</v>
          </cell>
          <cell r="G12">
            <v>86.929133858267718</v>
          </cell>
          <cell r="H12">
            <v>4.3464566929133861</v>
          </cell>
        </row>
        <row r="13">
          <cell r="B13" t="str">
            <v>Thavanampalle</v>
          </cell>
          <cell r="C13">
            <v>17</v>
          </cell>
          <cell r="D13">
            <v>17</v>
          </cell>
          <cell r="E13">
            <v>0</v>
          </cell>
          <cell r="F13">
            <v>5.2662037037037035E-3</v>
          </cell>
          <cell r="G13">
            <v>84.881889763779526</v>
          </cell>
          <cell r="H13">
            <v>4.2440944881889768</v>
          </cell>
        </row>
        <row r="14">
          <cell r="B14" t="str">
            <v>Kallur</v>
          </cell>
          <cell r="C14">
            <v>14</v>
          </cell>
          <cell r="D14">
            <v>14</v>
          </cell>
          <cell r="E14">
            <v>0</v>
          </cell>
          <cell r="F14">
            <v>5.5787037037037038E-3</v>
          </cell>
          <cell r="G14">
            <v>83.464566929133852</v>
          </cell>
          <cell r="H14">
            <v>4.1732283464566926</v>
          </cell>
        </row>
        <row r="15">
          <cell r="B15" t="str">
            <v>Yadamari</v>
          </cell>
          <cell r="C15">
            <v>11</v>
          </cell>
          <cell r="D15">
            <v>11</v>
          </cell>
          <cell r="E15">
            <v>0</v>
          </cell>
          <cell r="F15">
            <v>5.6134259259259271E-3</v>
          </cell>
          <cell r="G15">
            <v>83.307086614173215</v>
          </cell>
          <cell r="H15">
            <v>4.1653543307086611</v>
          </cell>
        </row>
        <row r="16">
          <cell r="B16" t="str">
            <v>Puthalapattu UPS</v>
          </cell>
          <cell r="C16">
            <v>7</v>
          </cell>
          <cell r="D16">
            <v>7</v>
          </cell>
          <cell r="E16">
            <v>0</v>
          </cell>
          <cell r="F16">
            <v>5.7407407407407416E-3</v>
          </cell>
          <cell r="G16">
            <v>82.729658792650923</v>
          </cell>
          <cell r="H16">
            <v>4.136482939632546</v>
          </cell>
        </row>
        <row r="17">
          <cell r="B17" t="str">
            <v>Rallabudugur</v>
          </cell>
          <cell r="C17">
            <v>10</v>
          </cell>
          <cell r="D17">
            <v>10</v>
          </cell>
          <cell r="E17">
            <v>0</v>
          </cell>
          <cell r="F17">
            <v>5.7638888888888887E-3</v>
          </cell>
          <cell r="G17">
            <v>82.624671916010499</v>
          </cell>
          <cell r="H17">
            <v>4.1312335958005253</v>
          </cell>
        </row>
        <row r="18">
          <cell r="B18" t="str">
            <v>Nindra</v>
          </cell>
          <cell r="C18">
            <v>6</v>
          </cell>
          <cell r="D18">
            <v>6</v>
          </cell>
          <cell r="E18">
            <v>0</v>
          </cell>
          <cell r="F18">
            <v>5.9953703703703697E-3</v>
          </cell>
          <cell r="G18">
            <v>81.574803149606296</v>
          </cell>
          <cell r="H18">
            <v>4.0787401574803148</v>
          </cell>
        </row>
        <row r="19">
          <cell r="B19" t="str">
            <v>Palamaner UPS</v>
          </cell>
          <cell r="C19">
            <v>29</v>
          </cell>
          <cell r="D19">
            <v>29</v>
          </cell>
          <cell r="E19">
            <v>0</v>
          </cell>
          <cell r="F19">
            <v>6.1921296296296299E-3</v>
          </cell>
          <cell r="G19">
            <v>80.682414698162731</v>
          </cell>
          <cell r="H19">
            <v>4.0341207349081367</v>
          </cell>
        </row>
        <row r="20">
          <cell r="B20" t="str">
            <v>Vijayapuram</v>
          </cell>
          <cell r="C20">
            <v>1</v>
          </cell>
          <cell r="D20">
            <v>1</v>
          </cell>
          <cell r="E20">
            <v>0</v>
          </cell>
          <cell r="F20">
            <v>6.2962962962962964E-3</v>
          </cell>
          <cell r="G20">
            <v>80.209973753280835</v>
          </cell>
          <cell r="H20">
            <v>4.0104986876640423</v>
          </cell>
        </row>
        <row r="21">
          <cell r="B21" t="str">
            <v>Kuppam UPS</v>
          </cell>
          <cell r="C21">
            <v>29</v>
          </cell>
          <cell r="D21">
            <v>29</v>
          </cell>
          <cell r="E21">
            <v>0</v>
          </cell>
          <cell r="F21">
            <v>6.4467592592592597E-3</v>
          </cell>
          <cell r="G21">
            <v>79.527559055118104</v>
          </cell>
          <cell r="H21">
            <v>3.9763779527559056</v>
          </cell>
        </row>
        <row r="22">
          <cell r="B22" t="str">
            <v>Chittoor Taluk PS</v>
          </cell>
          <cell r="C22">
            <v>12</v>
          </cell>
          <cell r="D22">
            <v>12</v>
          </cell>
          <cell r="E22">
            <v>0</v>
          </cell>
          <cell r="F22">
            <v>6.6319444444444446E-3</v>
          </cell>
          <cell r="G22">
            <v>78.687664041994751</v>
          </cell>
          <cell r="H22">
            <v>3.9343832020997378</v>
          </cell>
        </row>
        <row r="23">
          <cell r="B23" t="str">
            <v>Baireddypalle</v>
          </cell>
          <cell r="C23">
            <v>7</v>
          </cell>
          <cell r="D23">
            <v>7</v>
          </cell>
          <cell r="E23" t="str">
            <v>-</v>
          </cell>
          <cell r="F23">
            <v>6.9212962962962969E-3</v>
          </cell>
          <cell r="G23">
            <v>77.375328083989501</v>
          </cell>
          <cell r="H23">
            <v>3.8687664041994752</v>
          </cell>
        </row>
        <row r="24">
          <cell r="B24" t="str">
            <v>Penumur</v>
          </cell>
          <cell r="C24">
            <v>5</v>
          </cell>
          <cell r="D24">
            <v>5</v>
          </cell>
          <cell r="E24">
            <v>0</v>
          </cell>
          <cell r="F24">
            <v>7.2916666666666659E-3</v>
          </cell>
          <cell r="G24">
            <v>75.69553805774278</v>
          </cell>
          <cell r="H24">
            <v>3.7847769028871392</v>
          </cell>
        </row>
        <row r="25">
          <cell r="B25" t="str">
            <v>Kanipakam</v>
          </cell>
          <cell r="C25">
            <v>4</v>
          </cell>
          <cell r="D25">
            <v>4</v>
          </cell>
          <cell r="E25">
            <v>0</v>
          </cell>
          <cell r="F25">
            <v>7.6736111111111111E-3</v>
          </cell>
          <cell r="G25">
            <v>73.963254593175861</v>
          </cell>
          <cell r="H25">
            <v>3.6981627296587933</v>
          </cell>
        </row>
        <row r="26">
          <cell r="B26" t="str">
            <v>K. Nagar</v>
          </cell>
          <cell r="C26">
            <v>3</v>
          </cell>
          <cell r="D26">
            <v>3</v>
          </cell>
          <cell r="E26">
            <v>0</v>
          </cell>
          <cell r="F26">
            <v>7.905092592592592E-3</v>
          </cell>
          <cell r="G26">
            <v>72.913385826771659</v>
          </cell>
          <cell r="H26">
            <v>3.6456692913385833</v>
          </cell>
        </row>
        <row r="27">
          <cell r="B27" t="str">
            <v>Ramakuppam</v>
          </cell>
          <cell r="C27">
            <v>3</v>
          </cell>
          <cell r="D27">
            <v>3</v>
          </cell>
          <cell r="E27">
            <v>0</v>
          </cell>
          <cell r="F27">
            <v>8.1828703703703699E-3</v>
          </cell>
          <cell r="G27">
            <v>71.653543307086608</v>
          </cell>
          <cell r="H27">
            <v>3.5826771653543306</v>
          </cell>
        </row>
        <row r="28">
          <cell r="B28" t="str">
            <v>Panjani</v>
          </cell>
          <cell r="C28">
            <v>8</v>
          </cell>
          <cell r="D28">
            <v>8</v>
          </cell>
          <cell r="E28">
            <v>0</v>
          </cell>
          <cell r="F28">
            <v>8.518518518518519E-3</v>
          </cell>
          <cell r="G28">
            <v>70.131233595800524</v>
          </cell>
          <cell r="H28">
            <v>3.5065616797900265</v>
          </cell>
        </row>
        <row r="29">
          <cell r="B29" t="str">
            <v>G.D.Nellore UPS</v>
          </cell>
          <cell r="C29">
            <v>10</v>
          </cell>
          <cell r="D29">
            <v>10</v>
          </cell>
          <cell r="E29">
            <v>0</v>
          </cell>
          <cell r="F29">
            <v>9.1782407407407403E-3</v>
          </cell>
          <cell r="G29">
            <v>67.139107611548553</v>
          </cell>
          <cell r="H29">
            <v>3.3569553805774279</v>
          </cell>
        </row>
        <row r="30">
          <cell r="B30" t="str">
            <v>V.Kota UPS</v>
          </cell>
          <cell r="C30">
            <v>8</v>
          </cell>
          <cell r="D30">
            <v>8</v>
          </cell>
          <cell r="E30">
            <v>0</v>
          </cell>
          <cell r="F30">
            <v>9.8958333333333329E-3</v>
          </cell>
          <cell r="G30">
            <v>63.884514435695536</v>
          </cell>
          <cell r="H30">
            <v>3.1942257217847771</v>
          </cell>
        </row>
        <row r="31">
          <cell r="B31" t="str">
            <v>Gangavaram UPS</v>
          </cell>
          <cell r="C31">
            <v>16</v>
          </cell>
          <cell r="D31">
            <v>16</v>
          </cell>
          <cell r="E31">
            <v>0</v>
          </cell>
          <cell r="F31">
            <v>1.1423611111111112E-2</v>
          </cell>
          <cell r="G31">
            <v>56.955380577427817</v>
          </cell>
          <cell r="H31">
            <v>2.8477690288713911</v>
          </cell>
        </row>
        <row r="32">
          <cell r="B32" t="str">
            <v>CCS Chittoor UPS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50</v>
          </cell>
          <cell r="H32">
            <v>2.5</v>
          </cell>
        </row>
        <row r="33">
          <cell r="B33" t="str">
            <v>Mahila UPS, Chittoor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50</v>
          </cell>
          <cell r="H33">
            <v>2.5</v>
          </cell>
        </row>
        <row r="34">
          <cell r="B34" t="str">
            <v>Palasamudram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50</v>
          </cell>
          <cell r="H34">
            <v>2.5</v>
          </cell>
        </row>
        <row r="35">
          <cell r="B35" t="str">
            <v>Gudipala</v>
          </cell>
          <cell r="C35">
            <v>6</v>
          </cell>
          <cell r="D35">
            <v>6</v>
          </cell>
          <cell r="E35">
            <v>0</v>
          </cell>
          <cell r="F35">
            <v>1.6261574074074074E-2</v>
          </cell>
          <cell r="G35">
            <v>35.01312335958005</v>
          </cell>
          <cell r="H35">
            <v>1.7506561679790025</v>
          </cell>
        </row>
        <row r="36">
          <cell r="B36" t="str">
            <v>S.R.Puram</v>
          </cell>
          <cell r="C36">
            <v>1</v>
          </cell>
          <cell r="D36">
            <v>1</v>
          </cell>
          <cell r="E36">
            <v>0</v>
          </cell>
          <cell r="F36">
            <v>2.3981481481481479E-2</v>
          </cell>
          <cell r="G36">
            <v>0</v>
          </cell>
          <cell r="H36">
            <v>0</v>
          </cell>
        </row>
        <row r="37">
          <cell r="C37">
            <v>320</v>
          </cell>
          <cell r="D37">
            <v>9.4117647058823533</v>
          </cell>
          <cell r="E37">
            <v>0</v>
          </cell>
        </row>
      </sheetData>
      <sheetData sheetId="23">
        <row r="2">
          <cell r="B2" t="str">
            <v>PS NAME</v>
          </cell>
          <cell r="C2" t="str">
            <v>PS NAME</v>
          </cell>
          <cell r="D2" t="str">
            <v>Login Count</v>
          </cell>
          <cell r="E2" t="str">
            <v>Login 
Raw Value</v>
          </cell>
          <cell r="F2" t="str">
            <v>Marks
(3%)</v>
          </cell>
          <cell r="G2" t="str">
            <v>Person Search</v>
          </cell>
          <cell r="H2" t="str">
            <v>Person Search
Raw Value</v>
          </cell>
          <cell r="I2" t="str">
            <v>Marks
(1%)</v>
          </cell>
          <cell r="J2" t="str">
            <v>Vehicle Search</v>
          </cell>
          <cell r="K2" t="str">
            <v>Vehicle Search
Raw Value</v>
          </cell>
          <cell r="L2" t="str">
            <v>Marks
(1%)</v>
          </cell>
          <cell r="M2" t="str">
            <v>Total 
Marks
(5%)</v>
          </cell>
          <cell r="N2" t="str">
            <v>Total Raw Value</v>
          </cell>
        </row>
        <row r="3">
          <cell r="B3" t="str">
            <v>Gudipalli</v>
          </cell>
          <cell r="C3" t="str">
            <v>Gudipalli PS</v>
          </cell>
          <cell r="D3">
            <v>24</v>
          </cell>
          <cell r="E3">
            <v>100</v>
          </cell>
          <cell r="F3">
            <v>3</v>
          </cell>
          <cell r="G3">
            <v>9</v>
          </cell>
          <cell r="H3">
            <v>69.230769230769226</v>
          </cell>
          <cell r="I3">
            <v>0.69230769230769229</v>
          </cell>
          <cell r="J3">
            <v>12</v>
          </cell>
          <cell r="K3">
            <v>100</v>
          </cell>
          <cell r="L3">
            <v>1</v>
          </cell>
          <cell r="M3">
            <v>4.6923076923076925</v>
          </cell>
          <cell r="N3">
            <v>89.743589743589737</v>
          </cell>
        </row>
        <row r="4">
          <cell r="B4" t="str">
            <v>Kuppam UPS</v>
          </cell>
          <cell r="C4" t="str">
            <v>Kuppam UPS</v>
          </cell>
          <cell r="D4">
            <v>18</v>
          </cell>
          <cell r="E4">
            <v>100</v>
          </cell>
          <cell r="F4">
            <v>3</v>
          </cell>
          <cell r="G4">
            <v>13</v>
          </cell>
          <cell r="H4">
            <v>100</v>
          </cell>
          <cell r="I4">
            <v>1</v>
          </cell>
          <cell r="J4">
            <v>8</v>
          </cell>
          <cell r="K4">
            <v>66.666666666666671</v>
          </cell>
          <cell r="L4">
            <v>0.66666666666666674</v>
          </cell>
          <cell r="M4">
            <v>4.666666666666667</v>
          </cell>
          <cell r="N4">
            <v>88.8888888888889</v>
          </cell>
        </row>
        <row r="5">
          <cell r="B5" t="str">
            <v>Ramakuppam</v>
          </cell>
          <cell r="C5" t="str">
            <v>Ramakuppam PS</v>
          </cell>
          <cell r="D5">
            <v>9</v>
          </cell>
          <cell r="E5">
            <v>100</v>
          </cell>
          <cell r="F5">
            <v>3</v>
          </cell>
          <cell r="G5">
            <v>11</v>
          </cell>
          <cell r="H5">
            <v>84.615384615384613</v>
          </cell>
          <cell r="I5">
            <v>0.84615384615384615</v>
          </cell>
          <cell r="J5">
            <v>3</v>
          </cell>
          <cell r="K5">
            <v>25</v>
          </cell>
          <cell r="L5">
            <v>0.25</v>
          </cell>
          <cell r="M5">
            <v>4.0961538461538467</v>
          </cell>
          <cell r="N5">
            <v>69.871794871794876</v>
          </cell>
        </row>
        <row r="6">
          <cell r="B6" t="str">
            <v>Puthalapattu UPS</v>
          </cell>
          <cell r="C6" t="str">
            <v>Puthalapattu UPS</v>
          </cell>
          <cell r="D6">
            <v>16</v>
          </cell>
          <cell r="E6">
            <v>100</v>
          </cell>
          <cell r="F6">
            <v>3</v>
          </cell>
          <cell r="G6">
            <v>13</v>
          </cell>
          <cell r="H6">
            <v>100</v>
          </cell>
          <cell r="I6">
            <v>1</v>
          </cell>
          <cell r="J6">
            <v>0</v>
          </cell>
          <cell r="K6">
            <v>0</v>
          </cell>
          <cell r="L6">
            <v>0</v>
          </cell>
          <cell r="M6">
            <v>4</v>
          </cell>
          <cell r="N6">
            <v>66.666666666666671</v>
          </cell>
        </row>
        <row r="7">
          <cell r="B7" t="str">
            <v>CCS Chittoor UPS</v>
          </cell>
          <cell r="C7" t="str">
            <v>CCS Chittoor UPS</v>
          </cell>
          <cell r="D7">
            <v>25</v>
          </cell>
          <cell r="E7">
            <v>100</v>
          </cell>
          <cell r="F7">
            <v>3</v>
          </cell>
          <cell r="G7">
            <v>7</v>
          </cell>
          <cell r="H7">
            <v>53.846153846153847</v>
          </cell>
          <cell r="I7">
            <v>0.53846153846153844</v>
          </cell>
          <cell r="J7">
            <v>5</v>
          </cell>
          <cell r="K7">
            <v>41.666666666666664</v>
          </cell>
          <cell r="L7">
            <v>0.41666666666666663</v>
          </cell>
          <cell r="M7">
            <v>3.9551282051282048</v>
          </cell>
          <cell r="N7">
            <v>65.17094017094017</v>
          </cell>
        </row>
        <row r="8">
          <cell r="B8" t="str">
            <v>Palasamudram</v>
          </cell>
          <cell r="C8" t="str">
            <v>Palasamudram PS</v>
          </cell>
          <cell r="D8">
            <v>401</v>
          </cell>
          <cell r="E8">
            <v>100</v>
          </cell>
          <cell r="F8">
            <v>3</v>
          </cell>
          <cell r="G8">
            <v>6</v>
          </cell>
          <cell r="H8">
            <v>46.153846153846153</v>
          </cell>
          <cell r="I8">
            <v>0.46153846153846156</v>
          </cell>
          <cell r="J8">
            <v>3</v>
          </cell>
          <cell r="K8">
            <v>25</v>
          </cell>
          <cell r="L8">
            <v>0.25</v>
          </cell>
          <cell r="M8">
            <v>3.7115384615384617</v>
          </cell>
          <cell r="N8">
            <v>57.051282051282051</v>
          </cell>
        </row>
        <row r="9">
          <cell r="B9" t="str">
            <v>Rallabudugur</v>
          </cell>
          <cell r="C9" t="str">
            <v>Rallabudugur PS</v>
          </cell>
          <cell r="D9">
            <v>10</v>
          </cell>
          <cell r="E9">
            <v>100</v>
          </cell>
          <cell r="F9">
            <v>3</v>
          </cell>
          <cell r="G9">
            <v>0</v>
          </cell>
          <cell r="H9">
            <v>0</v>
          </cell>
          <cell r="I9">
            <v>0</v>
          </cell>
          <cell r="J9">
            <v>8</v>
          </cell>
          <cell r="K9">
            <v>66.666666666666671</v>
          </cell>
          <cell r="L9">
            <v>0.66666666666666674</v>
          </cell>
          <cell r="M9">
            <v>3.666666666666667</v>
          </cell>
          <cell r="N9">
            <v>55.555555555555564</v>
          </cell>
        </row>
        <row r="10">
          <cell r="B10" t="str">
            <v>Bangarupalem UPS</v>
          </cell>
          <cell r="C10" t="str">
            <v>Bangarupalem UPS</v>
          </cell>
          <cell r="D10">
            <v>9</v>
          </cell>
          <cell r="E10">
            <v>100</v>
          </cell>
          <cell r="F10">
            <v>3</v>
          </cell>
          <cell r="G10">
            <v>0</v>
          </cell>
          <cell r="H10">
            <v>0</v>
          </cell>
          <cell r="I10">
            <v>0</v>
          </cell>
          <cell r="J10">
            <v>4</v>
          </cell>
          <cell r="K10">
            <v>33.333333333333336</v>
          </cell>
          <cell r="L10">
            <v>0.33333333333333337</v>
          </cell>
          <cell r="M10">
            <v>3.3333333333333335</v>
          </cell>
          <cell r="N10">
            <v>44.44444444444445</v>
          </cell>
        </row>
        <row r="11">
          <cell r="B11" t="str">
            <v>Narsingarayanipet(N.R.Pet)</v>
          </cell>
          <cell r="C11" t="str">
            <v>Narsingarayanipet(N.R.Pet) PS</v>
          </cell>
          <cell r="D11">
            <v>13</v>
          </cell>
          <cell r="E11">
            <v>100</v>
          </cell>
          <cell r="F11">
            <v>3</v>
          </cell>
          <cell r="G11">
            <v>4</v>
          </cell>
          <cell r="H11">
            <v>30.76923076923077</v>
          </cell>
          <cell r="I11">
            <v>0.30769230769230771</v>
          </cell>
          <cell r="J11">
            <v>0</v>
          </cell>
          <cell r="K11">
            <v>0</v>
          </cell>
          <cell r="L11">
            <v>0</v>
          </cell>
          <cell r="M11">
            <v>3.3076923076923075</v>
          </cell>
          <cell r="N11">
            <v>43.589743589743591</v>
          </cell>
        </row>
        <row r="12">
          <cell r="B12" t="str">
            <v>Chittoor II Town UPS</v>
          </cell>
          <cell r="C12" t="str">
            <v>Chittoor II Town UPS</v>
          </cell>
          <cell r="D12">
            <v>13</v>
          </cell>
          <cell r="E12">
            <v>100</v>
          </cell>
          <cell r="F12">
            <v>3</v>
          </cell>
          <cell r="G12">
            <v>1</v>
          </cell>
          <cell r="H12">
            <v>7.6923076923076925</v>
          </cell>
          <cell r="I12">
            <v>7.6923076923076927E-2</v>
          </cell>
          <cell r="J12">
            <v>1</v>
          </cell>
          <cell r="K12">
            <v>8.3333333333333339</v>
          </cell>
          <cell r="L12">
            <v>8.3333333333333343E-2</v>
          </cell>
          <cell r="M12">
            <v>3.1602564102564106</v>
          </cell>
          <cell r="N12">
            <v>38.675213675213676</v>
          </cell>
        </row>
        <row r="13">
          <cell r="B13" t="str">
            <v>Chittoor I Town UPS</v>
          </cell>
          <cell r="C13" t="str">
            <v>Chittoor I Town UPS</v>
          </cell>
          <cell r="D13">
            <v>10</v>
          </cell>
          <cell r="E13">
            <v>100</v>
          </cell>
          <cell r="F13">
            <v>3</v>
          </cell>
          <cell r="G13">
            <v>2</v>
          </cell>
          <cell r="H13">
            <v>15.384615384615385</v>
          </cell>
          <cell r="I13">
            <v>0.15384615384615385</v>
          </cell>
          <cell r="J13">
            <v>0</v>
          </cell>
          <cell r="K13">
            <v>0</v>
          </cell>
          <cell r="L13">
            <v>0</v>
          </cell>
          <cell r="M13">
            <v>3.1538461538461537</v>
          </cell>
          <cell r="N13">
            <v>38.46153846153846</v>
          </cell>
        </row>
        <row r="14">
          <cell r="B14" t="str">
            <v>Nindra</v>
          </cell>
          <cell r="C14" t="str">
            <v>Nindra PS</v>
          </cell>
          <cell r="D14">
            <v>7</v>
          </cell>
          <cell r="E14">
            <v>100</v>
          </cell>
          <cell r="F14">
            <v>3</v>
          </cell>
          <cell r="G14">
            <v>2</v>
          </cell>
          <cell r="H14">
            <v>15.384615384615385</v>
          </cell>
          <cell r="I14">
            <v>0.15384615384615385</v>
          </cell>
          <cell r="J14">
            <v>0</v>
          </cell>
          <cell r="K14">
            <v>0</v>
          </cell>
          <cell r="L14">
            <v>0</v>
          </cell>
          <cell r="M14">
            <v>3.1538461538461537</v>
          </cell>
          <cell r="N14">
            <v>38.46153846153846</v>
          </cell>
        </row>
        <row r="15">
          <cell r="B15" t="str">
            <v>Chittoor Traffic UPS</v>
          </cell>
          <cell r="C15" t="str">
            <v>Chittoor Traffic UPS</v>
          </cell>
          <cell r="D15">
            <v>32</v>
          </cell>
          <cell r="E15">
            <v>100</v>
          </cell>
          <cell r="F15">
            <v>3</v>
          </cell>
          <cell r="G15">
            <v>0</v>
          </cell>
          <cell r="H15">
            <v>0</v>
          </cell>
          <cell r="I15">
            <v>0</v>
          </cell>
          <cell r="J15">
            <v>1</v>
          </cell>
          <cell r="K15">
            <v>8.3333333333333339</v>
          </cell>
          <cell r="L15">
            <v>8.3333333333333343E-2</v>
          </cell>
          <cell r="M15">
            <v>3.0833333333333335</v>
          </cell>
          <cell r="N15">
            <v>36.111111111111107</v>
          </cell>
        </row>
        <row r="16">
          <cell r="B16" t="str">
            <v>K. Nagar</v>
          </cell>
          <cell r="C16" t="str">
            <v>K. Nagar PS</v>
          </cell>
          <cell r="D16">
            <v>8</v>
          </cell>
          <cell r="E16">
            <v>100</v>
          </cell>
          <cell r="F16">
            <v>3</v>
          </cell>
          <cell r="G16">
            <v>0</v>
          </cell>
          <cell r="H16">
            <v>0</v>
          </cell>
          <cell r="I16">
            <v>0</v>
          </cell>
          <cell r="J16">
            <v>1</v>
          </cell>
          <cell r="K16">
            <v>8.3333333333333339</v>
          </cell>
          <cell r="L16">
            <v>8.3333333333333343E-2</v>
          </cell>
          <cell r="M16">
            <v>3.0833333333333335</v>
          </cell>
          <cell r="N16">
            <v>36.111111111111107</v>
          </cell>
        </row>
        <row r="17">
          <cell r="B17" t="str">
            <v>V.Kota UPS</v>
          </cell>
          <cell r="C17" t="str">
            <v>V.Kota UPS</v>
          </cell>
          <cell r="D17">
            <v>34</v>
          </cell>
          <cell r="E17">
            <v>100</v>
          </cell>
          <cell r="F17">
            <v>3</v>
          </cell>
          <cell r="G17">
            <v>1</v>
          </cell>
          <cell r="H17">
            <v>7.6923076923076925</v>
          </cell>
          <cell r="I17">
            <v>7.6923076923076927E-2</v>
          </cell>
          <cell r="J17">
            <v>0</v>
          </cell>
          <cell r="K17">
            <v>0</v>
          </cell>
          <cell r="L17">
            <v>0</v>
          </cell>
          <cell r="M17">
            <v>3.0769230769230771</v>
          </cell>
          <cell r="N17">
            <v>35.897435897435898</v>
          </cell>
        </row>
        <row r="18">
          <cell r="B18" t="str">
            <v>Irala</v>
          </cell>
          <cell r="C18" t="str">
            <v>Irala PS</v>
          </cell>
          <cell r="D18">
            <v>8</v>
          </cell>
          <cell r="E18">
            <v>100</v>
          </cell>
          <cell r="F18">
            <v>3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3</v>
          </cell>
          <cell r="N18">
            <v>33.333333333333336</v>
          </cell>
        </row>
        <row r="19">
          <cell r="B19" t="str">
            <v>Rompicherla</v>
          </cell>
          <cell r="C19" t="str">
            <v>Rompicherla PS</v>
          </cell>
          <cell r="D19">
            <v>12</v>
          </cell>
          <cell r="E19">
            <v>100</v>
          </cell>
          <cell r="F19">
            <v>3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3</v>
          </cell>
          <cell r="N19">
            <v>33.333333333333336</v>
          </cell>
        </row>
        <row r="20">
          <cell r="B20" t="str">
            <v>Vedurukuppam</v>
          </cell>
          <cell r="C20" t="str">
            <v>Vedurukuppam PS</v>
          </cell>
          <cell r="D20">
            <v>11</v>
          </cell>
          <cell r="E20">
            <v>100</v>
          </cell>
          <cell r="F20">
            <v>3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3</v>
          </cell>
          <cell r="N20">
            <v>33.333333333333336</v>
          </cell>
        </row>
        <row r="21">
          <cell r="B21" t="str">
            <v>Thavanampalle</v>
          </cell>
          <cell r="C21" t="str">
            <v>Thavanampalle PS</v>
          </cell>
          <cell r="D21">
            <v>13</v>
          </cell>
          <cell r="E21">
            <v>100</v>
          </cell>
          <cell r="F21">
            <v>3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3</v>
          </cell>
          <cell r="N21">
            <v>33.333333333333336</v>
          </cell>
        </row>
        <row r="22">
          <cell r="B22" t="str">
            <v>Kallur</v>
          </cell>
          <cell r="C22" t="str">
            <v>Kallur PS</v>
          </cell>
          <cell r="D22">
            <v>8</v>
          </cell>
          <cell r="E22">
            <v>100</v>
          </cell>
          <cell r="F22">
            <v>3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3</v>
          </cell>
          <cell r="N22">
            <v>33.333333333333336</v>
          </cell>
        </row>
        <row r="23">
          <cell r="B23" t="str">
            <v>Baireddypalle</v>
          </cell>
          <cell r="C23" t="str">
            <v>Baireddypalle PS</v>
          </cell>
          <cell r="D23">
            <v>7</v>
          </cell>
          <cell r="E23">
            <v>100</v>
          </cell>
          <cell r="F23">
            <v>3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3</v>
          </cell>
          <cell r="N23">
            <v>33.333333333333336</v>
          </cell>
        </row>
        <row r="24">
          <cell r="B24" t="str">
            <v>Penumur</v>
          </cell>
          <cell r="C24" t="str">
            <v>Penumur PS</v>
          </cell>
          <cell r="D24">
            <v>12</v>
          </cell>
          <cell r="E24">
            <v>100</v>
          </cell>
          <cell r="F24">
            <v>3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3</v>
          </cell>
          <cell r="N24">
            <v>33.333333333333336</v>
          </cell>
        </row>
        <row r="25">
          <cell r="B25" t="str">
            <v>Panjani</v>
          </cell>
          <cell r="C25" t="str">
            <v>Panjani PS</v>
          </cell>
          <cell r="D25">
            <v>11</v>
          </cell>
          <cell r="E25">
            <v>100</v>
          </cell>
          <cell r="F25">
            <v>3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3</v>
          </cell>
          <cell r="N25">
            <v>33.333333333333336</v>
          </cell>
        </row>
        <row r="26">
          <cell r="B26" t="str">
            <v>G.D.Nellore UPS</v>
          </cell>
          <cell r="C26" t="str">
            <v>G.D.Nellore UPS</v>
          </cell>
          <cell r="D26">
            <v>8</v>
          </cell>
          <cell r="E26">
            <v>100</v>
          </cell>
          <cell r="F26">
            <v>3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3</v>
          </cell>
          <cell r="N26">
            <v>33.333333333333336</v>
          </cell>
        </row>
        <row r="27">
          <cell r="B27" t="str">
            <v>S.R.Puram</v>
          </cell>
          <cell r="C27" t="str">
            <v>S.R.Puram PS</v>
          </cell>
          <cell r="D27">
            <v>7</v>
          </cell>
          <cell r="E27">
            <v>100</v>
          </cell>
          <cell r="F27">
            <v>3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3</v>
          </cell>
          <cell r="N27">
            <v>33.333333333333336</v>
          </cell>
        </row>
        <row r="28">
          <cell r="B28" t="str">
            <v>Palamaner UPS</v>
          </cell>
          <cell r="C28" t="str">
            <v>Palamaner UPS</v>
          </cell>
          <cell r="D28">
            <v>6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1</v>
          </cell>
          <cell r="K28">
            <v>8.3333333333333339</v>
          </cell>
          <cell r="L28">
            <v>8.3333333333333343E-2</v>
          </cell>
          <cell r="M28">
            <v>8.3333333333333343E-2</v>
          </cell>
          <cell r="N28">
            <v>2.7777777777777781</v>
          </cell>
        </row>
        <row r="29">
          <cell r="B29" t="str">
            <v>Gangavaram UPS</v>
          </cell>
          <cell r="C29" t="str">
            <v>Gangavaram UPS</v>
          </cell>
          <cell r="D29">
            <v>2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1</v>
          </cell>
          <cell r="K29">
            <v>8.3333333333333339</v>
          </cell>
          <cell r="L29">
            <v>8.3333333333333343E-2</v>
          </cell>
          <cell r="M29">
            <v>8.3333333333333343E-2</v>
          </cell>
          <cell r="N29">
            <v>2.7777777777777781</v>
          </cell>
        </row>
        <row r="30">
          <cell r="B30" t="str">
            <v>Nagari UPS</v>
          </cell>
          <cell r="C30" t="str">
            <v>Nagari UPS</v>
          </cell>
          <cell r="D30">
            <v>5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</row>
        <row r="31">
          <cell r="B31" t="str">
            <v>Yadamari</v>
          </cell>
          <cell r="C31" t="str">
            <v>Yadamari PS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</row>
        <row r="32">
          <cell r="B32" t="str">
            <v>Vijayapuram</v>
          </cell>
          <cell r="C32" t="str">
            <v>Vijayapuram PS</v>
          </cell>
          <cell r="D32">
            <v>6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</row>
        <row r="33">
          <cell r="B33" t="str">
            <v>Chittoor Taluk PS</v>
          </cell>
          <cell r="C33" t="str">
            <v>Chittoor Taluk PS</v>
          </cell>
          <cell r="D33">
            <v>1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</row>
        <row r="34">
          <cell r="B34" t="str">
            <v>Kanipakam</v>
          </cell>
          <cell r="C34" t="str">
            <v>Kanipakam PS</v>
          </cell>
          <cell r="D34">
            <v>5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</row>
        <row r="35">
          <cell r="B35" t="str">
            <v>Mahila UPS, Chittoor</v>
          </cell>
          <cell r="C35" t="str">
            <v>Mahila UPS, Chittoor PS</v>
          </cell>
          <cell r="D35">
            <v>6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</row>
        <row r="36">
          <cell r="B36" t="str">
            <v>Gudipala</v>
          </cell>
          <cell r="C36" t="str">
            <v>Gudipala PS</v>
          </cell>
          <cell r="D36">
            <v>2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</row>
        <row r="37">
          <cell r="D37">
            <v>759</v>
          </cell>
          <cell r="G37">
            <v>69</v>
          </cell>
          <cell r="J37">
            <v>0</v>
          </cell>
          <cell r="L37">
            <v>0.11764705882352944</v>
          </cell>
        </row>
      </sheetData>
      <sheetData sheetId="24">
        <row r="2">
          <cell r="B2" t="str">
            <v>PS NAME</v>
          </cell>
          <cell r="C2" t="str">
            <v>PS NAME</v>
          </cell>
          <cell r="D2" t="str">
            <v>Raw Value</v>
          </cell>
          <cell r="E2" t="str">
            <v>Marks
(5%)</v>
          </cell>
        </row>
        <row r="3">
          <cell r="B3" t="str">
            <v>Gudipalli</v>
          </cell>
          <cell r="C3" t="str">
            <v>Gudipalli PS</v>
          </cell>
          <cell r="D3" t="str">
            <v>NA</v>
          </cell>
          <cell r="E3">
            <v>0</v>
          </cell>
        </row>
        <row r="4">
          <cell r="B4" t="str">
            <v>Kuppam UPS</v>
          </cell>
          <cell r="C4" t="str">
            <v>Kuppam UPS</v>
          </cell>
          <cell r="D4" t="str">
            <v>NA</v>
          </cell>
          <cell r="E4">
            <v>0</v>
          </cell>
        </row>
        <row r="5">
          <cell r="B5" t="str">
            <v>Ramakuppam</v>
          </cell>
          <cell r="C5" t="str">
            <v>Ramakuppam PS</v>
          </cell>
          <cell r="D5" t="str">
            <v>NA</v>
          </cell>
          <cell r="E5">
            <v>0</v>
          </cell>
        </row>
        <row r="6">
          <cell r="B6" t="str">
            <v>Puthalapattu UPS</v>
          </cell>
          <cell r="C6" t="str">
            <v>Puthalapattu UPS</v>
          </cell>
          <cell r="D6" t="str">
            <v>NA</v>
          </cell>
          <cell r="E6">
            <v>0</v>
          </cell>
        </row>
        <row r="7">
          <cell r="B7" t="str">
            <v>CCS Chittoor UPS</v>
          </cell>
          <cell r="C7" t="str">
            <v>CCS Chittoor UPS</v>
          </cell>
          <cell r="D7" t="str">
            <v>NA</v>
          </cell>
          <cell r="E7">
            <v>0</v>
          </cell>
        </row>
        <row r="8">
          <cell r="B8" t="str">
            <v>Palasamudram</v>
          </cell>
          <cell r="C8" t="str">
            <v>Palasamudram PS</v>
          </cell>
          <cell r="D8" t="str">
            <v>NA</v>
          </cell>
          <cell r="E8">
            <v>0</v>
          </cell>
        </row>
        <row r="9">
          <cell r="B9" t="str">
            <v>Rallabudugur</v>
          </cell>
          <cell r="C9" t="str">
            <v>Rallabudugur PS</v>
          </cell>
          <cell r="D9" t="str">
            <v>NA</v>
          </cell>
          <cell r="E9">
            <v>0</v>
          </cell>
        </row>
        <row r="10">
          <cell r="B10" t="str">
            <v>Bangarupalem UPS</v>
          </cell>
          <cell r="C10" t="str">
            <v>Bangarupalem UPS</v>
          </cell>
          <cell r="D10" t="str">
            <v>NA</v>
          </cell>
          <cell r="E10">
            <v>0</v>
          </cell>
        </row>
        <row r="11">
          <cell r="B11" t="str">
            <v>Narsingarayanipet(N.R.Pet)</v>
          </cell>
          <cell r="C11" t="str">
            <v>Narsingarayanipet(N.R.Pet) PS</v>
          </cell>
          <cell r="D11" t="str">
            <v>NA</v>
          </cell>
          <cell r="E11">
            <v>0</v>
          </cell>
        </row>
        <row r="12">
          <cell r="B12" t="str">
            <v>Chittoor II Town UPS</v>
          </cell>
          <cell r="C12" t="str">
            <v>Chittoor II Town UPS</v>
          </cell>
          <cell r="D12" t="str">
            <v>NA</v>
          </cell>
          <cell r="E12">
            <v>0</v>
          </cell>
        </row>
        <row r="13">
          <cell r="B13" t="str">
            <v>Chittoor I Town UPS</v>
          </cell>
          <cell r="C13" t="str">
            <v>Chittoor I Town UPS</v>
          </cell>
          <cell r="D13" t="str">
            <v>NA</v>
          </cell>
          <cell r="E13">
            <v>0</v>
          </cell>
        </row>
        <row r="14">
          <cell r="B14" t="str">
            <v>Nindra</v>
          </cell>
          <cell r="C14" t="str">
            <v>Nindra PS</v>
          </cell>
          <cell r="D14" t="str">
            <v>NA</v>
          </cell>
          <cell r="E14">
            <v>0</v>
          </cell>
        </row>
        <row r="15">
          <cell r="B15" t="str">
            <v>Chittoor Traffic UPS</v>
          </cell>
          <cell r="C15" t="str">
            <v>Chittoor Traffic UPS</v>
          </cell>
          <cell r="D15" t="str">
            <v>NA</v>
          </cell>
          <cell r="E15">
            <v>0</v>
          </cell>
        </row>
        <row r="16">
          <cell r="B16" t="str">
            <v>K. Nagar</v>
          </cell>
          <cell r="C16" t="str">
            <v>K. Nagar PS</v>
          </cell>
          <cell r="D16" t="str">
            <v>NA</v>
          </cell>
          <cell r="E16">
            <v>0</v>
          </cell>
        </row>
        <row r="17">
          <cell r="B17" t="str">
            <v>V.Kota UPS</v>
          </cell>
          <cell r="C17" t="str">
            <v>V.Kota UPS</v>
          </cell>
          <cell r="D17" t="str">
            <v>NA</v>
          </cell>
          <cell r="E17">
            <v>0</v>
          </cell>
        </row>
        <row r="18">
          <cell r="B18" t="str">
            <v>Irala</v>
          </cell>
          <cell r="C18" t="str">
            <v>Irala PS</v>
          </cell>
          <cell r="D18" t="str">
            <v>NA</v>
          </cell>
          <cell r="E18">
            <v>0</v>
          </cell>
        </row>
        <row r="19">
          <cell r="B19" t="str">
            <v>Rompicherla</v>
          </cell>
          <cell r="C19" t="str">
            <v>Rompicherla PS</v>
          </cell>
          <cell r="D19" t="str">
            <v>NA</v>
          </cell>
          <cell r="E19">
            <v>0</v>
          </cell>
        </row>
        <row r="20">
          <cell r="B20" t="str">
            <v>Vedurukuppam</v>
          </cell>
          <cell r="C20" t="str">
            <v>Vedurukuppam PS</v>
          </cell>
          <cell r="D20" t="str">
            <v>NA</v>
          </cell>
          <cell r="E20">
            <v>0</v>
          </cell>
        </row>
        <row r="21">
          <cell r="B21" t="str">
            <v>Thavanampalle</v>
          </cell>
          <cell r="C21" t="str">
            <v>Thavanampalle PS</v>
          </cell>
          <cell r="D21" t="str">
            <v>NA</v>
          </cell>
          <cell r="E21">
            <v>0</v>
          </cell>
        </row>
        <row r="22">
          <cell r="B22" t="str">
            <v>Kallur</v>
          </cell>
          <cell r="C22" t="str">
            <v>Kallur PS</v>
          </cell>
          <cell r="D22" t="str">
            <v>NA</v>
          </cell>
          <cell r="E22">
            <v>0</v>
          </cell>
        </row>
        <row r="23">
          <cell r="B23" t="str">
            <v>Baireddypalle</v>
          </cell>
          <cell r="C23" t="str">
            <v>Baireddypalle PS</v>
          </cell>
          <cell r="D23" t="str">
            <v>NA</v>
          </cell>
          <cell r="E23">
            <v>0</v>
          </cell>
        </row>
        <row r="24">
          <cell r="B24" t="str">
            <v>Penumur</v>
          </cell>
          <cell r="C24" t="str">
            <v>Penumur PS</v>
          </cell>
          <cell r="D24" t="str">
            <v>NA</v>
          </cell>
          <cell r="E24">
            <v>0</v>
          </cell>
        </row>
        <row r="25">
          <cell r="B25" t="str">
            <v>Panjani</v>
          </cell>
          <cell r="C25" t="str">
            <v>Panjani PS</v>
          </cell>
          <cell r="D25" t="str">
            <v>NA</v>
          </cell>
          <cell r="E25">
            <v>0</v>
          </cell>
        </row>
        <row r="26">
          <cell r="B26" t="str">
            <v>G.D.Nellore UPS</v>
          </cell>
          <cell r="C26" t="str">
            <v>G.D.Nellore UPS</v>
          </cell>
          <cell r="D26" t="str">
            <v>NA</v>
          </cell>
          <cell r="E26">
            <v>0</v>
          </cell>
        </row>
        <row r="27">
          <cell r="B27" t="str">
            <v>S.R.Puram</v>
          </cell>
          <cell r="C27" t="str">
            <v>S.R.Puram PS</v>
          </cell>
          <cell r="D27" t="str">
            <v>NA</v>
          </cell>
          <cell r="E27">
            <v>0</v>
          </cell>
        </row>
        <row r="28">
          <cell r="B28" t="str">
            <v>Palamaner UPS</v>
          </cell>
          <cell r="C28" t="str">
            <v>Palamaner UPS</v>
          </cell>
          <cell r="D28" t="str">
            <v>NA</v>
          </cell>
          <cell r="E28">
            <v>0</v>
          </cell>
        </row>
        <row r="29">
          <cell r="B29" t="str">
            <v>Gangavaram UPS</v>
          </cell>
          <cell r="C29" t="str">
            <v>Gangavaram UPS</v>
          </cell>
          <cell r="D29" t="str">
            <v>NA</v>
          </cell>
          <cell r="E29">
            <v>0</v>
          </cell>
        </row>
        <row r="30">
          <cell r="B30" t="str">
            <v>Nagari UPS</v>
          </cell>
          <cell r="C30" t="str">
            <v>Nagari UPS</v>
          </cell>
          <cell r="D30" t="str">
            <v>NA</v>
          </cell>
          <cell r="E30">
            <v>0</v>
          </cell>
        </row>
        <row r="31">
          <cell r="B31" t="str">
            <v>Yadamari</v>
          </cell>
          <cell r="C31" t="str">
            <v>Yadamari PS</v>
          </cell>
          <cell r="D31" t="str">
            <v>NA</v>
          </cell>
          <cell r="E31">
            <v>0</v>
          </cell>
        </row>
        <row r="32">
          <cell r="B32" t="str">
            <v>Vijayapuram</v>
          </cell>
          <cell r="C32" t="str">
            <v>Vijayapuram PS</v>
          </cell>
          <cell r="D32" t="str">
            <v>NA</v>
          </cell>
          <cell r="E32">
            <v>0</v>
          </cell>
        </row>
        <row r="33">
          <cell r="B33" t="str">
            <v>Chittoor Taluk PS</v>
          </cell>
          <cell r="C33" t="str">
            <v>Chittoor Taluk PS</v>
          </cell>
          <cell r="D33" t="str">
            <v>NA</v>
          </cell>
          <cell r="E33">
            <v>0</v>
          </cell>
        </row>
        <row r="34">
          <cell r="B34" t="str">
            <v>Kanipakam</v>
          </cell>
          <cell r="C34" t="str">
            <v>Kanipakam PS</v>
          </cell>
          <cell r="D34" t="str">
            <v>NA</v>
          </cell>
          <cell r="E34">
            <v>0</v>
          </cell>
        </row>
        <row r="35">
          <cell r="B35" t="str">
            <v>Mahila UPS, Chittoor</v>
          </cell>
          <cell r="C35" t="str">
            <v>Mahila UPS, Chittoor PS</v>
          </cell>
          <cell r="D35" t="str">
            <v>NA</v>
          </cell>
          <cell r="E35">
            <v>0</v>
          </cell>
        </row>
        <row r="36">
          <cell r="B36" t="str">
            <v>Gudipala</v>
          </cell>
          <cell r="C36" t="str">
            <v>Gudipala PS</v>
          </cell>
          <cell r="D36" t="str">
            <v>NA</v>
          </cell>
          <cell r="E36">
            <v>0</v>
          </cell>
        </row>
        <row r="37">
          <cell r="E37">
            <v>0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1DE16-B235-474C-A884-B3E3CAA6DD2D}">
  <sheetPr>
    <tabColor rgb="FF00B0F0"/>
    <pageSetUpPr fitToPage="1"/>
  </sheetPr>
  <dimension ref="A1:V36"/>
  <sheetViews>
    <sheetView tabSelected="1" workbookViewId="0">
      <selection activeCell="X10" sqref="X10"/>
    </sheetView>
  </sheetViews>
  <sheetFormatPr defaultRowHeight="14.4"/>
  <cols>
    <col min="1" max="1" width="23.5546875" customWidth="1"/>
    <col min="2" max="3" width="7.109375" style="15" bestFit="1" customWidth="1"/>
    <col min="4" max="4" width="4.88671875" style="16" bestFit="1" customWidth="1"/>
    <col min="5" max="5" width="7.109375" style="16" bestFit="1" customWidth="1"/>
    <col min="6" max="7" width="8.77734375" customWidth="1"/>
    <col min="8" max="8" width="7.109375" style="16" customWidth="1"/>
    <col min="9" max="9" width="5.44140625" customWidth="1"/>
    <col min="10" max="11" width="7.109375" bestFit="1" customWidth="1"/>
    <col min="12" max="12" width="5.33203125" customWidth="1"/>
    <col min="13" max="13" width="7.109375" bestFit="1" customWidth="1"/>
    <col min="14" max="14" width="4.109375" customWidth="1"/>
    <col min="15" max="15" width="8.77734375" style="15" customWidth="1"/>
    <col min="16" max="16" width="7.109375" bestFit="1" customWidth="1"/>
    <col min="17" max="17" width="6" bestFit="1" customWidth="1"/>
    <col min="18" max="19" width="7.109375" bestFit="1" customWidth="1"/>
    <col min="20" max="20" width="8.77734375" customWidth="1"/>
    <col min="21" max="21" width="6" style="15" bestFit="1" customWidth="1"/>
    <col min="22" max="22" width="4.88671875" bestFit="1" customWidth="1"/>
  </cols>
  <sheetData>
    <row r="1" spans="1:22" ht="84.6" customHeight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3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2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2" t="s">
        <v>20</v>
      </c>
      <c r="V1" s="4" t="s">
        <v>21</v>
      </c>
    </row>
    <row r="2" spans="1:22" ht="15">
      <c r="A2" s="6" t="s">
        <v>22</v>
      </c>
      <c r="B2" s="7">
        <v>0.05</v>
      </c>
      <c r="C2" s="7">
        <v>0.05</v>
      </c>
      <c r="D2" s="7">
        <v>0.05</v>
      </c>
      <c r="E2" s="7">
        <v>0.05</v>
      </c>
      <c r="F2" s="7">
        <v>0.05</v>
      </c>
      <c r="G2" s="8">
        <v>2.5000000000000001E-2</v>
      </c>
      <c r="H2" s="8">
        <v>2.5000000000000001E-2</v>
      </c>
      <c r="I2" s="7">
        <v>0.05</v>
      </c>
      <c r="J2" s="7">
        <v>0.05</v>
      </c>
      <c r="K2" s="7">
        <v>0.05</v>
      </c>
      <c r="L2" s="7">
        <v>0.05</v>
      </c>
      <c r="M2" s="7">
        <v>0.05</v>
      </c>
      <c r="N2" s="7">
        <v>0.05</v>
      </c>
      <c r="O2" s="7">
        <v>0.05</v>
      </c>
      <c r="P2" s="7">
        <v>0.05</v>
      </c>
      <c r="Q2" s="7">
        <v>0.05</v>
      </c>
      <c r="R2" s="7">
        <v>0.05</v>
      </c>
      <c r="S2" s="7">
        <v>0.05</v>
      </c>
      <c r="T2" s="7">
        <v>0.05</v>
      </c>
      <c r="U2" s="7">
        <v>0.05</v>
      </c>
      <c r="V2" s="7">
        <v>0.05</v>
      </c>
    </row>
    <row r="3" spans="1:22" s="13" customFormat="1" ht="23.55" customHeight="1">
      <c r="A3" s="9" t="s">
        <v>23</v>
      </c>
      <c r="B3" s="10" t="str">
        <f>VLOOKUP(A3,'[1]1_MEDLEAPR_PME'!B:H,6,0)</f>
        <v>100.00</v>
      </c>
      <c r="C3" s="10">
        <f>VLOOKUP(A3,'[1]2_MEDLEAPR_MLC'!B:I,6,0)</f>
        <v>0</v>
      </c>
      <c r="D3" s="11">
        <f>VLOOKUP(A3,'[1]3_NATGRID'!B:H,6,0)</f>
        <v>0</v>
      </c>
      <c r="E3" s="11">
        <f>VLOOKUP(A3,'[1]4_DGP_DASH'!B:E,3,0)</f>
        <v>100</v>
      </c>
      <c r="F3" s="10">
        <f>VLOOKUP(A3,'[1]5_CCTNS_TILL'!B:P,14,0)</f>
        <v>79.183267811160448</v>
      </c>
      <c r="G3" s="10">
        <f>VLOOKUP(A3,'[1]6_CCTNS_1_7'!B:P,14,0)</f>
        <v>36.363636363636367</v>
      </c>
      <c r="H3" s="11">
        <f>VLOOKUP(A3,'[1]7_CCTNS_8_15'!B:M,11,0)</f>
        <v>0</v>
      </c>
      <c r="I3" s="12">
        <f>VLOOKUP(A3,'[1]8_ZERO_FIRS'!B:H,6,0)</f>
        <v>100</v>
      </c>
      <c r="J3" s="10">
        <f>VLOOKUP(A3,'[1]9_CITIZEN_PORTAL'!B:H,6,0)</f>
        <v>100</v>
      </c>
      <c r="K3" s="10">
        <f>VLOOKUP(A3,'[1]10_ESAKSHYA'!B:L,10,0)</f>
        <v>97.311827956989248</v>
      </c>
      <c r="L3" s="12">
        <f>VLOOKUP(A3,'[1]11_CRIMAC'!B:G,5,0)</f>
        <v>100</v>
      </c>
      <c r="M3" s="10">
        <f>VLOOKUP(A3,'[1]12_CEIR'!B:M,10,0)</f>
        <v>21.917808219178081</v>
      </c>
      <c r="N3" s="12">
        <f>VLOOKUP(A3,'[1]13_EPROSEC'!B:E,3,0)</f>
        <v>0</v>
      </c>
      <c r="O3" s="10">
        <f>VLOOKUP(A3,'[1]14_FIR_CS_COURT'!B:L,11,0)</f>
        <v>0.68493150684931503</v>
      </c>
      <c r="P3" s="10">
        <f>VLOOKUP(A3,'[1]15_EOFFICE'!C:P,12,0)</f>
        <v>87.97</v>
      </c>
      <c r="Q3" s="10">
        <f>VLOOKUP(A3,'[1]16_APOLIS'!B:K,10,0)</f>
        <v>83.333333333333343</v>
      </c>
      <c r="R3" s="10">
        <f>VLOOKUP(A3,'[1]17_DRONE_FLYING'!B:G,5,0)</f>
        <v>62.92</v>
      </c>
      <c r="S3" s="10">
        <f>VLOOKUP(A3,'[1]17_DRONE_FLYING'!B:G,5,0)</f>
        <v>62.92</v>
      </c>
      <c r="T3" s="10">
        <f>VLOOKUP(A3,'[1]19_DIAL100_RES'!B:H,6,0)</f>
        <v>86.929133858267718</v>
      </c>
      <c r="U3" s="10">
        <f>VLOOKUP(A3,'[1]20_CCTV_360'!B:N,13,0)</f>
        <v>0</v>
      </c>
      <c r="V3" s="11">
        <f>VLOOKUP(A3,'[1]21_NEWS360AI'!B:E,4,0)</f>
        <v>0</v>
      </c>
    </row>
    <row r="4" spans="1:22" s="13" customFormat="1" ht="23.55" customHeight="1">
      <c r="A4" s="9" t="s">
        <v>24</v>
      </c>
      <c r="B4" s="10">
        <f>VLOOKUP(A4,'[1]1_MEDLEAPR_PME'!B:H,6,0)</f>
        <v>100</v>
      </c>
      <c r="C4" s="10" t="str">
        <f>VLOOKUP(A4,'[1]2_MEDLEAPR_MLC'!B:I,6,0)</f>
        <v>100.00</v>
      </c>
      <c r="D4" s="11">
        <f>VLOOKUP(A4,'[1]3_NATGRID'!B:H,6,0)</f>
        <v>0</v>
      </c>
      <c r="E4" s="11">
        <f>VLOOKUP(A4,'[1]4_DGP_DASH'!B:E,3,0)</f>
        <v>100</v>
      </c>
      <c r="F4" s="10">
        <f>VLOOKUP(A4,'[1]5_CCTNS_TILL'!B:P,14,0)</f>
        <v>71.61949756824481</v>
      </c>
      <c r="G4" s="10">
        <f>VLOOKUP(A4,'[1]6_CCTNS_1_7'!B:P,14,0)</f>
        <v>54.54545454545454</v>
      </c>
      <c r="H4" s="11">
        <f>VLOOKUP(A4,'[1]7_CCTNS_8_15'!B:M,11,0)</f>
        <v>0</v>
      </c>
      <c r="I4" s="12">
        <f>VLOOKUP(A4,'[1]8_ZERO_FIRS'!B:H,6,0)</f>
        <v>100</v>
      </c>
      <c r="J4" s="10">
        <f>VLOOKUP(A4,'[1]9_CITIZEN_PORTAL'!B:H,6,0)</f>
        <v>100</v>
      </c>
      <c r="K4" s="10">
        <f>VLOOKUP(A4,'[1]10_ESAKSHYA'!B:L,10,0)</f>
        <v>56.730769230769234</v>
      </c>
      <c r="L4" s="12">
        <f>VLOOKUP(A4,'[1]11_CRIMAC'!B:G,5,0)</f>
        <v>100</v>
      </c>
      <c r="M4" s="10">
        <f>VLOOKUP(A4,'[1]12_CEIR'!B:M,10,0)</f>
        <v>10.95890410958904</v>
      </c>
      <c r="N4" s="12">
        <f>VLOOKUP(A4,'[1]13_EPROSEC'!B:E,3,0)</f>
        <v>0</v>
      </c>
      <c r="O4" s="10">
        <f>VLOOKUP(A4,'[1]14_FIR_CS_COURT'!B:L,11,0)</f>
        <v>0.69930069930069927</v>
      </c>
      <c r="P4" s="10">
        <f>VLOOKUP(A4,'[1]15_EOFFICE'!C:P,12,0)</f>
        <v>86.74</v>
      </c>
      <c r="Q4" s="10">
        <f>VLOOKUP(A4,'[1]16_APOLIS'!B:K,10,0)</f>
        <v>78.571428571428569</v>
      </c>
      <c r="R4" s="10">
        <f>VLOOKUP(A4,'[1]17_DRONE_FLYING'!B:G,5,0)</f>
        <v>69.66</v>
      </c>
      <c r="S4" s="10">
        <f>VLOOKUP(A4,'[1]17_DRONE_FLYING'!B:G,5,0)</f>
        <v>69.66</v>
      </c>
      <c r="T4" s="10">
        <f>VLOOKUP(A4,'[1]19_DIAL100_RES'!B:H,6,0)</f>
        <v>92.125984251968504</v>
      </c>
      <c r="U4" s="10">
        <f>VLOOKUP(A4,'[1]20_CCTV_360'!B:N,13,0)</f>
        <v>33.333333333333336</v>
      </c>
      <c r="V4" s="11">
        <f>VLOOKUP(A4,'[1]21_NEWS360AI'!B:E,4,0)</f>
        <v>0</v>
      </c>
    </row>
    <row r="5" spans="1:22" s="13" customFormat="1" ht="23.55" customHeight="1">
      <c r="A5" s="9" t="s">
        <v>25</v>
      </c>
      <c r="B5" s="10" t="str">
        <f>VLOOKUP(A5,'[1]1_MEDLEAPR_PME'!B:H,6,0)</f>
        <v>100.00</v>
      </c>
      <c r="C5" s="10" t="str">
        <f>VLOOKUP(A5,'[1]2_MEDLEAPR_MLC'!B:I,6,0)</f>
        <v>100.00</v>
      </c>
      <c r="D5" s="11">
        <f>VLOOKUP(A5,'[1]3_NATGRID'!B:H,6,0)</f>
        <v>0</v>
      </c>
      <c r="E5" s="11">
        <f>VLOOKUP(A5,'[1]4_DGP_DASH'!B:E,3,0)</f>
        <v>100</v>
      </c>
      <c r="F5" s="10">
        <f>VLOOKUP(A5,'[1]5_CCTNS_TILL'!B:P,14,0)</f>
        <v>69.40278214794462</v>
      </c>
      <c r="G5" s="10">
        <f>VLOOKUP(A5,'[1]6_CCTNS_1_7'!B:P,14,0)</f>
        <v>30.303030303030305</v>
      </c>
      <c r="H5" s="11">
        <f>VLOOKUP(A5,'[1]7_CCTNS_8_15'!B:M,11,0)</f>
        <v>0</v>
      </c>
      <c r="I5" s="12">
        <f>VLOOKUP(A5,'[1]8_ZERO_FIRS'!B:H,6,0)</f>
        <v>100</v>
      </c>
      <c r="J5" s="10">
        <f>VLOOKUP(A5,'[1]9_CITIZEN_PORTAL'!B:H,6,0)</f>
        <v>100</v>
      </c>
      <c r="K5" s="10">
        <f>VLOOKUP(A5,'[1]10_ESAKSHYA'!B:L,10,0)</f>
        <v>20.754716981132077</v>
      </c>
      <c r="L5" s="12">
        <f>VLOOKUP(A5,'[1]11_CRIMAC'!B:G,5,0)</f>
        <v>100</v>
      </c>
      <c r="M5" s="10">
        <f>VLOOKUP(A5,'[1]12_CEIR'!B:M,10,0)</f>
        <v>13.698630136986301</v>
      </c>
      <c r="N5" s="12">
        <f>VLOOKUP(A5,'[1]13_EPROSEC'!B:E,3,0)</f>
        <v>0</v>
      </c>
      <c r="O5" s="10">
        <f>VLOOKUP(A5,'[1]14_FIR_CS_COURT'!B:L,11,0)</f>
        <v>30.134680134680135</v>
      </c>
      <c r="P5" s="10">
        <f>VLOOKUP(A5,'[1]15_EOFFICE'!C:P,12,0)</f>
        <v>81.180000000000007</v>
      </c>
      <c r="Q5" s="10">
        <f>VLOOKUP(A5,'[1]16_APOLIS'!B:K,10,0)</f>
        <v>70</v>
      </c>
      <c r="R5" s="10">
        <f>VLOOKUP(A5,'[1]17_DRONE_FLYING'!B:G,5,0)</f>
        <v>76.400000000000006</v>
      </c>
      <c r="S5" s="10">
        <f>VLOOKUP(A5,'[1]17_DRONE_FLYING'!B:G,5,0)</f>
        <v>76.400000000000006</v>
      </c>
      <c r="T5" s="10">
        <f>VLOOKUP(A5,'[1]19_DIAL100_RES'!B:H,6,0)</f>
        <v>56.955380577427817</v>
      </c>
      <c r="U5" s="10">
        <f>VLOOKUP(A5,'[1]20_CCTV_360'!B:N,13,0)</f>
        <v>2.7777777777777781</v>
      </c>
      <c r="V5" s="11">
        <f>VLOOKUP(A5,'[1]21_NEWS360AI'!B:E,4,0)</f>
        <v>0</v>
      </c>
    </row>
    <row r="6" spans="1:22" s="13" customFormat="1" ht="23.55" customHeight="1">
      <c r="A6" s="9" t="s">
        <v>26</v>
      </c>
      <c r="B6" s="10">
        <f>VLOOKUP(A6,'[1]1_MEDLEAPR_PME'!B:H,6,0)</f>
        <v>100</v>
      </c>
      <c r="C6" s="10" t="str">
        <f>VLOOKUP(A6,'[1]2_MEDLEAPR_MLC'!B:I,6,0)</f>
        <v>100.00</v>
      </c>
      <c r="D6" s="11">
        <f>VLOOKUP(A6,'[1]3_NATGRID'!B:H,6,0)</f>
        <v>0</v>
      </c>
      <c r="E6" s="11">
        <f>VLOOKUP(A6,'[1]4_DGP_DASH'!B:E,3,0)</f>
        <v>100</v>
      </c>
      <c r="F6" s="10">
        <f>VLOOKUP(A6,'[1]5_CCTNS_TILL'!B:P,14,0)</f>
        <v>79.105525177507559</v>
      </c>
      <c r="G6" s="10">
        <f>VLOOKUP(A6,'[1]6_CCTNS_1_7'!B:P,14,0)</f>
        <v>100</v>
      </c>
      <c r="H6" s="11">
        <f>VLOOKUP(A6,'[1]7_CCTNS_8_15'!B:M,11,0)</f>
        <v>0</v>
      </c>
      <c r="I6" s="12">
        <f>VLOOKUP(A6,'[1]8_ZERO_FIRS'!B:H,6,0)</f>
        <v>100</v>
      </c>
      <c r="J6" s="10">
        <f>VLOOKUP(A6,'[1]9_CITIZEN_PORTAL'!B:H,6,0)</f>
        <v>100</v>
      </c>
      <c r="K6" s="10">
        <f>VLOOKUP(A6,'[1]10_ESAKSHYA'!B:L,10,0)</f>
        <v>78.888888888888886</v>
      </c>
      <c r="L6" s="12">
        <f>VLOOKUP(A6,'[1]11_CRIMAC'!B:G,5,0)</f>
        <v>100</v>
      </c>
      <c r="M6" s="10">
        <f>VLOOKUP(A6,'[1]12_CEIR'!B:M,10,0)</f>
        <v>21.917808219178081</v>
      </c>
      <c r="N6" s="12">
        <f>VLOOKUP(A6,'[1]13_EPROSEC'!B:E,3,0)</f>
        <v>0</v>
      </c>
      <c r="O6" s="10">
        <f>VLOOKUP(A6,'[1]14_FIR_CS_COURT'!B:L,11,0)</f>
        <v>29.62962962962963</v>
      </c>
      <c r="P6" s="10">
        <f>VLOOKUP(A6,'[1]15_EOFFICE'!C:P,12,0)</f>
        <v>50</v>
      </c>
      <c r="Q6" s="10">
        <f>VLOOKUP(A6,'[1]16_APOLIS'!B:K,10,0)</f>
        <v>60.810810810810807</v>
      </c>
      <c r="R6" s="10" t="str">
        <f>VLOOKUP(A6,'[1]17_DRONE_FLYING'!B:G,5,0)</f>
        <v>50</v>
      </c>
      <c r="S6" s="10" t="str">
        <f>VLOOKUP(A6,'[1]17_DRONE_FLYING'!B:G,5,0)</f>
        <v>50</v>
      </c>
      <c r="T6" s="10">
        <f>VLOOKUP(A6,'[1]19_DIAL100_RES'!B:H,6,0)</f>
        <v>72.913385826771659</v>
      </c>
      <c r="U6" s="10">
        <f>VLOOKUP(A6,'[1]20_CCTV_360'!B:N,13,0)</f>
        <v>36.111111111111107</v>
      </c>
      <c r="V6" s="11">
        <f>VLOOKUP(A6,'[1]21_NEWS360AI'!B:E,4,0)</f>
        <v>0</v>
      </c>
    </row>
    <row r="7" spans="1:22" s="13" customFormat="1" ht="23.55" customHeight="1">
      <c r="A7" s="9" t="s">
        <v>27</v>
      </c>
      <c r="B7" s="10" t="str">
        <f>VLOOKUP(A7,'[1]1_MEDLEAPR_PME'!B:H,6,0)</f>
        <v>100.00</v>
      </c>
      <c r="C7" s="10" t="str">
        <f>VLOOKUP(A7,'[1]2_MEDLEAPR_MLC'!B:I,6,0)</f>
        <v>100.00</v>
      </c>
      <c r="D7" s="11">
        <f>VLOOKUP(A7,'[1]3_NATGRID'!B:H,6,0)</f>
        <v>0</v>
      </c>
      <c r="E7" s="11">
        <f>VLOOKUP(A7,'[1]4_DGP_DASH'!B:E,3,0)</f>
        <v>100</v>
      </c>
      <c r="F7" s="10">
        <f>VLOOKUP(A7,'[1]5_CCTNS_TILL'!B:P,14,0)</f>
        <v>77.565783312351215</v>
      </c>
      <c r="G7" s="10">
        <f>VLOOKUP(A7,'[1]6_CCTNS_1_7'!B:P,14,0)</f>
        <v>50</v>
      </c>
      <c r="H7" s="11">
        <f>VLOOKUP(A7,'[1]7_CCTNS_8_15'!B:M,11,0)</f>
        <v>0</v>
      </c>
      <c r="I7" s="12">
        <f>VLOOKUP(A7,'[1]8_ZERO_FIRS'!B:H,6,0)</f>
        <v>100</v>
      </c>
      <c r="J7" s="10">
        <f>VLOOKUP(A7,'[1]9_CITIZEN_PORTAL'!B:H,6,0)</f>
        <v>100</v>
      </c>
      <c r="K7" s="10">
        <f>VLOOKUP(A7,'[1]10_ESAKSHYA'!B:L,10,0)</f>
        <v>58.620689655172413</v>
      </c>
      <c r="L7" s="12">
        <f>VLOOKUP(A7,'[1]11_CRIMAC'!B:G,5,0)</f>
        <v>100</v>
      </c>
      <c r="M7" s="10">
        <f>VLOOKUP(A7,'[1]12_CEIR'!B:M,10,0)</f>
        <v>24.657534246575342</v>
      </c>
      <c r="N7" s="12">
        <f>VLOOKUP(A7,'[1]13_EPROSEC'!B:E,3,0)</f>
        <v>0</v>
      </c>
      <c r="O7" s="10">
        <f>VLOOKUP(A7,'[1]14_FIR_CS_COURT'!B:L,11,0)</f>
        <v>35.763888888888886</v>
      </c>
      <c r="P7" s="10">
        <f>VLOOKUP(A7,'[1]15_EOFFICE'!C:P,12,0)</f>
        <v>75.23</v>
      </c>
      <c r="Q7" s="10">
        <f>VLOOKUP(A7,'[1]16_APOLIS'!B:K,10,0)</f>
        <v>60.227272727272734</v>
      </c>
      <c r="R7" s="10">
        <f>VLOOKUP(A7,'[1]17_DRONE_FLYING'!B:G,5,0)</f>
        <v>55.06</v>
      </c>
      <c r="S7" s="10">
        <f>VLOOKUP(A7,'[1]17_DRONE_FLYING'!B:G,5,0)</f>
        <v>55.06</v>
      </c>
      <c r="T7" s="10">
        <f>VLOOKUP(A7,'[1]19_DIAL100_RES'!B:H,6,0)</f>
        <v>78.687664041994751</v>
      </c>
      <c r="U7" s="10">
        <f>VLOOKUP(A7,'[1]20_CCTV_360'!B:N,13,0)</f>
        <v>0</v>
      </c>
      <c r="V7" s="11">
        <f>VLOOKUP(A7,'[1]21_NEWS360AI'!B:E,4,0)</f>
        <v>0</v>
      </c>
    </row>
    <row r="8" spans="1:22" s="13" customFormat="1" ht="23.55" customHeight="1">
      <c r="A8" s="9" t="s">
        <v>28</v>
      </c>
      <c r="B8" s="10" t="str">
        <f>VLOOKUP(A8,'[1]1_MEDLEAPR_PME'!B:H,6,0)</f>
        <v>100.00</v>
      </c>
      <c r="C8" s="10">
        <f>VLOOKUP(A8,'[1]2_MEDLEAPR_MLC'!B:I,6,0)</f>
        <v>100</v>
      </c>
      <c r="D8" s="11">
        <f>VLOOKUP(A8,'[1]3_NATGRID'!B:H,6,0)</f>
        <v>0</v>
      </c>
      <c r="E8" s="11">
        <f>VLOOKUP(A8,'[1]4_DGP_DASH'!B:E,3,0)</f>
        <v>100</v>
      </c>
      <c r="F8" s="10">
        <f>VLOOKUP(A8,'[1]5_CCTNS_TILL'!B:P,14,0)</f>
        <v>68.428882433615968</v>
      </c>
      <c r="G8" s="10">
        <f>VLOOKUP(A8,'[1]6_CCTNS_1_7'!B:P,14,0)</f>
        <v>9.0909090909090917</v>
      </c>
      <c r="H8" s="11">
        <f>VLOOKUP(A8,'[1]7_CCTNS_8_15'!B:M,11,0)</f>
        <v>0</v>
      </c>
      <c r="I8" s="12">
        <f>VLOOKUP(A8,'[1]8_ZERO_FIRS'!B:H,6,0)</f>
        <v>100</v>
      </c>
      <c r="J8" s="10">
        <f>VLOOKUP(A8,'[1]9_CITIZEN_PORTAL'!B:H,6,0)</f>
        <v>100</v>
      </c>
      <c r="K8" s="10">
        <f>VLOOKUP(A8,'[1]10_ESAKSHYA'!B:L,10,0)</f>
        <v>71.428571428571431</v>
      </c>
      <c r="L8" s="12">
        <f>VLOOKUP(A8,'[1]11_CRIMAC'!B:G,5,0)</f>
        <v>100</v>
      </c>
      <c r="M8" s="10">
        <f>VLOOKUP(A8,'[1]12_CEIR'!B:M,10,0)</f>
        <v>4.1095890410958908</v>
      </c>
      <c r="N8" s="12">
        <f>VLOOKUP(A8,'[1]13_EPROSEC'!B:E,3,0)</f>
        <v>0</v>
      </c>
      <c r="O8" s="10">
        <f>VLOOKUP(A8,'[1]14_FIR_CS_COURT'!B:L,11,0)</f>
        <v>35.227272727272727</v>
      </c>
      <c r="P8" s="10">
        <f>VLOOKUP(A8,'[1]15_EOFFICE'!C:P,12,0)</f>
        <v>50</v>
      </c>
      <c r="Q8" s="10">
        <f>VLOOKUP(A8,'[1]16_APOLIS'!B:K,10,0)</f>
        <v>60</v>
      </c>
      <c r="R8" s="10" t="str">
        <f>VLOOKUP(A8,'[1]17_DRONE_FLYING'!B:G,5,0)</f>
        <v>50</v>
      </c>
      <c r="S8" s="10" t="str">
        <f>VLOOKUP(A8,'[1]17_DRONE_FLYING'!B:G,5,0)</f>
        <v>50</v>
      </c>
      <c r="T8" s="10">
        <f>VLOOKUP(A8,'[1]19_DIAL100_RES'!B:H,6,0)</f>
        <v>100</v>
      </c>
      <c r="U8" s="10">
        <f>VLOOKUP(A8,'[1]20_CCTV_360'!B:N,13,0)</f>
        <v>33.333333333333336</v>
      </c>
      <c r="V8" s="11">
        <f>VLOOKUP(A8,'[1]21_NEWS360AI'!B:E,4,0)</f>
        <v>0</v>
      </c>
    </row>
    <row r="9" spans="1:22" s="13" customFormat="1" ht="23.55" customHeight="1">
      <c r="A9" s="9" t="s">
        <v>29</v>
      </c>
      <c r="B9" s="10">
        <f>VLOOKUP(A9,'[1]1_MEDLEAPR_PME'!B:H,6,0)</f>
        <v>100</v>
      </c>
      <c r="C9" s="10" t="str">
        <f>VLOOKUP(A9,'[1]2_MEDLEAPR_MLC'!B:I,6,0)</f>
        <v>100.00</v>
      </c>
      <c r="D9" s="11">
        <f>VLOOKUP(A9,'[1]3_NATGRID'!B:H,6,0)</f>
        <v>0</v>
      </c>
      <c r="E9" s="11">
        <f>VLOOKUP(A9,'[1]4_DGP_DASH'!B:E,3,0)</f>
        <v>100</v>
      </c>
      <c r="F9" s="10">
        <f>VLOOKUP(A9,'[1]5_CCTNS_TILL'!B:P,14,0)</f>
        <v>72.234495414843664</v>
      </c>
      <c r="G9" s="10">
        <f>VLOOKUP(A9,'[1]6_CCTNS_1_7'!B:P,14,0)</f>
        <v>4.5454545454545459</v>
      </c>
      <c r="H9" s="11">
        <f>VLOOKUP(A9,'[1]7_CCTNS_8_15'!B:M,11,0)</f>
        <v>0</v>
      </c>
      <c r="I9" s="12">
        <f>VLOOKUP(A9,'[1]8_ZERO_FIRS'!B:H,6,0)</f>
        <v>100</v>
      </c>
      <c r="J9" s="10">
        <f>VLOOKUP(A9,'[1]9_CITIZEN_PORTAL'!B:H,6,0)</f>
        <v>100</v>
      </c>
      <c r="K9" s="10">
        <f>VLOOKUP(A9,'[1]10_ESAKSHYA'!B:L,10,0)</f>
        <v>47.142857142857146</v>
      </c>
      <c r="L9" s="12">
        <f>VLOOKUP(A9,'[1]11_CRIMAC'!B:G,5,0)</f>
        <v>100</v>
      </c>
      <c r="M9" s="10">
        <f>VLOOKUP(A9,'[1]12_CEIR'!B:M,10,0)</f>
        <v>12.328767123287671</v>
      </c>
      <c r="N9" s="12">
        <f>VLOOKUP(A9,'[1]13_EPROSEC'!B:E,3,0)</f>
        <v>0</v>
      </c>
      <c r="O9" s="10">
        <f>VLOOKUP(A9,'[1]14_FIR_CS_COURT'!B:L,11,0)</f>
        <v>27.565982404692082</v>
      </c>
      <c r="P9" s="10">
        <f>VLOOKUP(A9,'[1]15_EOFFICE'!C:P,12,0)</f>
        <v>23.93</v>
      </c>
      <c r="Q9" s="10">
        <f>VLOOKUP(A9,'[1]16_APOLIS'!B:K,10,0)</f>
        <v>57.5</v>
      </c>
      <c r="R9" s="10">
        <f>VLOOKUP(A9,'[1]17_DRONE_FLYING'!B:G,5,0)</f>
        <v>57.3</v>
      </c>
      <c r="S9" s="10">
        <f>VLOOKUP(A9,'[1]17_DRONE_FLYING'!B:G,5,0)</f>
        <v>57.3</v>
      </c>
      <c r="T9" s="10">
        <f>VLOOKUP(A9,'[1]19_DIAL100_RES'!B:H,6,0)</f>
        <v>80.682414698162731</v>
      </c>
      <c r="U9" s="10">
        <f>VLOOKUP(A9,'[1]20_CCTV_360'!B:N,13,0)</f>
        <v>2.7777777777777781</v>
      </c>
      <c r="V9" s="11">
        <f>VLOOKUP(A9,'[1]21_NEWS360AI'!B:E,4,0)</f>
        <v>0</v>
      </c>
    </row>
    <row r="10" spans="1:22" s="13" customFormat="1" ht="23.55" customHeight="1">
      <c r="A10" s="9" t="s">
        <v>30</v>
      </c>
      <c r="B10" s="10" t="str">
        <f>VLOOKUP(A10,'[1]1_MEDLEAPR_PME'!B:H,6,0)</f>
        <v>100.00</v>
      </c>
      <c r="C10" s="10">
        <f>VLOOKUP(A10,'[1]2_MEDLEAPR_MLC'!B:I,6,0)</f>
        <v>66.666666666666671</v>
      </c>
      <c r="D10" s="11">
        <f>VLOOKUP(A10,'[1]3_NATGRID'!B:H,6,0)</f>
        <v>0</v>
      </c>
      <c r="E10" s="11">
        <f>VLOOKUP(A10,'[1]4_DGP_DASH'!B:E,3,0)</f>
        <v>100</v>
      </c>
      <c r="F10" s="10">
        <f>VLOOKUP(A10,'[1]5_CCTNS_TILL'!B:P,14,0)</f>
        <v>68.076970589971765</v>
      </c>
      <c r="G10" s="10">
        <f>VLOOKUP(A10,'[1]6_CCTNS_1_7'!B:P,14,0)</f>
        <v>21.59090909090909</v>
      </c>
      <c r="H10" s="11">
        <f>VLOOKUP(A10,'[1]7_CCTNS_8_15'!B:M,11,0)</f>
        <v>0</v>
      </c>
      <c r="I10" s="12">
        <f>VLOOKUP(A10,'[1]8_ZERO_FIRS'!B:H,6,0)</f>
        <v>100</v>
      </c>
      <c r="J10" s="10">
        <f>VLOOKUP(A10,'[1]9_CITIZEN_PORTAL'!B:H,6,0)</f>
        <v>99.074074074074076</v>
      </c>
      <c r="K10" s="10">
        <f>VLOOKUP(A10,'[1]10_ESAKSHYA'!B:L,10,0)</f>
        <v>45.859872611464965</v>
      </c>
      <c r="L10" s="12">
        <f>VLOOKUP(A10,'[1]11_CRIMAC'!B:G,5,0)</f>
        <v>100</v>
      </c>
      <c r="M10" s="10">
        <f>VLOOKUP(A10,'[1]12_CEIR'!B:M,10,0)</f>
        <v>47.945205479452056</v>
      </c>
      <c r="N10" s="12">
        <f>VLOOKUP(A10,'[1]13_EPROSEC'!B:E,3,0)</f>
        <v>0</v>
      </c>
      <c r="O10" s="10">
        <f>VLOOKUP(A10,'[1]14_FIR_CS_COURT'!B:L,11,0)</f>
        <v>23.452768729641694</v>
      </c>
      <c r="P10" s="10">
        <f>VLOOKUP(A10,'[1]15_EOFFICE'!C:P,12,0)</f>
        <v>50</v>
      </c>
      <c r="Q10" s="10">
        <f>VLOOKUP(A10,'[1]16_APOLIS'!B:K,10,0)</f>
        <v>55.555555555555557</v>
      </c>
      <c r="R10" s="10">
        <f>VLOOKUP(A10,'[1]17_DRONE_FLYING'!B:G,5,0)</f>
        <v>100</v>
      </c>
      <c r="S10" s="10">
        <f>VLOOKUP(A10,'[1]17_DRONE_FLYING'!B:G,5,0)</f>
        <v>100</v>
      </c>
      <c r="T10" s="10">
        <f>VLOOKUP(A10,'[1]19_DIAL100_RES'!B:H,6,0)</f>
        <v>79.527559055118104</v>
      </c>
      <c r="U10" s="10">
        <f>VLOOKUP(A10,'[1]20_CCTV_360'!B:N,13,0)</f>
        <v>88.8888888888889</v>
      </c>
      <c r="V10" s="11">
        <f>VLOOKUP(A10,'[1]21_NEWS360AI'!B:E,4,0)</f>
        <v>0</v>
      </c>
    </row>
    <row r="11" spans="1:22" s="13" customFormat="1" ht="23.55" customHeight="1">
      <c r="A11" s="9" t="s">
        <v>31</v>
      </c>
      <c r="B11" s="10">
        <f>VLOOKUP(A11,'[1]1_MEDLEAPR_PME'!B:H,6,0)</f>
        <v>100</v>
      </c>
      <c r="C11" s="10" t="str">
        <f>VLOOKUP(A11,'[1]2_MEDLEAPR_MLC'!B:I,6,0)</f>
        <v>100.00</v>
      </c>
      <c r="D11" s="11">
        <f>VLOOKUP(A11,'[1]3_NATGRID'!B:H,6,0)</f>
        <v>0</v>
      </c>
      <c r="E11" s="11">
        <f>VLOOKUP(A11,'[1]4_DGP_DASH'!B:E,3,0)</f>
        <v>100</v>
      </c>
      <c r="F11" s="10">
        <f>VLOOKUP(A11,'[1]5_CCTNS_TILL'!B:P,14,0)</f>
        <v>75.722560032060528</v>
      </c>
      <c r="G11" s="10">
        <f>VLOOKUP(A11,'[1]6_CCTNS_1_7'!B:P,14,0)</f>
        <v>18.181818181818183</v>
      </c>
      <c r="H11" s="11">
        <f>VLOOKUP(A11,'[1]7_CCTNS_8_15'!B:M,11,0)</f>
        <v>0</v>
      </c>
      <c r="I11" s="12">
        <f>VLOOKUP(A11,'[1]8_ZERO_FIRS'!B:H,6,0)</f>
        <v>100</v>
      </c>
      <c r="J11" s="10">
        <f>VLOOKUP(A11,'[1]9_CITIZEN_PORTAL'!B:H,6,0)</f>
        <v>100</v>
      </c>
      <c r="K11" s="10">
        <f>VLOOKUP(A11,'[1]10_ESAKSHYA'!B:L,10,0)</f>
        <v>99.428571428571431</v>
      </c>
      <c r="L11" s="12">
        <f>VLOOKUP(A11,'[1]11_CRIMAC'!B:G,5,0)</f>
        <v>100</v>
      </c>
      <c r="M11" s="10">
        <f>VLOOKUP(A11,'[1]12_CEIR'!B:M,10,0)</f>
        <v>5.4794520547945202</v>
      </c>
      <c r="N11" s="12">
        <f>VLOOKUP(A11,'[1]13_EPROSEC'!B:E,3,0)</f>
        <v>0</v>
      </c>
      <c r="O11" s="10">
        <f>VLOOKUP(A11,'[1]14_FIR_CS_COURT'!B:L,11,0)</f>
        <v>26.388888888888889</v>
      </c>
      <c r="P11" s="10">
        <f>VLOOKUP(A11,'[1]15_EOFFICE'!C:P,12,0)</f>
        <v>69.94</v>
      </c>
      <c r="Q11" s="10">
        <f>VLOOKUP(A11,'[1]16_APOLIS'!B:K,10,0)</f>
        <v>54.166666666666671</v>
      </c>
      <c r="R11" s="10">
        <f>VLOOKUP(A11,'[1]17_DRONE_FLYING'!B:G,5,0)</f>
        <v>83.15</v>
      </c>
      <c r="S11" s="10">
        <f>VLOOKUP(A11,'[1]17_DRONE_FLYING'!B:G,5,0)</f>
        <v>83.15</v>
      </c>
      <c r="T11" s="10">
        <f>VLOOKUP(A11,'[1]19_DIAL100_RES'!B:H,6,0)</f>
        <v>82.624671916010499</v>
      </c>
      <c r="U11" s="10">
        <f>VLOOKUP(A11,'[1]20_CCTV_360'!B:N,13,0)</f>
        <v>55.555555555555564</v>
      </c>
      <c r="V11" s="11">
        <f>VLOOKUP(A11,'[1]21_NEWS360AI'!B:E,4,0)</f>
        <v>0</v>
      </c>
    </row>
    <row r="12" spans="1:22" s="13" customFormat="1" ht="23.55" customHeight="1">
      <c r="A12" s="9" t="s">
        <v>32</v>
      </c>
      <c r="B12" s="10" t="str">
        <f>VLOOKUP(A12,'[1]1_MEDLEAPR_PME'!B:H,6,0)</f>
        <v>100.00</v>
      </c>
      <c r="C12" s="10" t="str">
        <f>VLOOKUP(A12,'[1]2_MEDLEAPR_MLC'!B:I,6,0)</f>
        <v>100.00</v>
      </c>
      <c r="D12" s="11">
        <f>VLOOKUP(A12,'[1]3_NATGRID'!B:H,6,0)</f>
        <v>0</v>
      </c>
      <c r="E12" s="11">
        <f>VLOOKUP(A12,'[1]4_DGP_DASH'!B:E,3,0)</f>
        <v>100</v>
      </c>
      <c r="F12" s="10">
        <f>VLOOKUP(A12,'[1]5_CCTNS_TILL'!B:P,14,0)</f>
        <v>68.999394680277277</v>
      </c>
      <c r="G12" s="10">
        <f>VLOOKUP(A12,'[1]6_CCTNS_1_7'!B:P,14,0)</f>
        <v>0</v>
      </c>
      <c r="H12" s="11">
        <f>VLOOKUP(A12,'[1]7_CCTNS_8_15'!B:M,11,0)</f>
        <v>0</v>
      </c>
      <c r="I12" s="12">
        <f>VLOOKUP(A12,'[1]8_ZERO_FIRS'!B:H,6,0)</f>
        <v>100</v>
      </c>
      <c r="J12" s="10">
        <f>VLOOKUP(A12,'[1]9_CITIZEN_PORTAL'!B:H,6,0)</f>
        <v>100</v>
      </c>
      <c r="K12" s="10">
        <f>VLOOKUP(A12,'[1]10_ESAKSHYA'!B:L,10,0)</f>
        <v>95.774647887323937</v>
      </c>
      <c r="L12" s="12">
        <f>VLOOKUP(A12,'[1]11_CRIMAC'!B:G,5,0)</f>
        <v>100</v>
      </c>
      <c r="M12" s="10">
        <f>VLOOKUP(A12,'[1]12_CEIR'!B:M,10,0)</f>
        <v>8.2191780821917817</v>
      </c>
      <c r="N12" s="12">
        <f>VLOOKUP(A12,'[1]13_EPROSEC'!B:E,3,0)</f>
        <v>0</v>
      </c>
      <c r="O12" s="10">
        <f>VLOOKUP(A12,'[1]14_FIR_CS_COURT'!B:L,11,0)</f>
        <v>0</v>
      </c>
      <c r="P12" s="10">
        <f>VLOOKUP(A12,'[1]15_EOFFICE'!C:P,12,0)</f>
        <v>50</v>
      </c>
      <c r="Q12" s="10">
        <f>VLOOKUP(A12,'[1]16_APOLIS'!B:K,10,0)</f>
        <v>52.941176470588232</v>
      </c>
      <c r="R12" s="10">
        <f>VLOOKUP(A12,'[1]17_DRONE_FLYING'!B:G,5,0)</f>
        <v>6.74</v>
      </c>
      <c r="S12" s="10">
        <f>VLOOKUP(A12,'[1]17_DRONE_FLYING'!B:G,5,0)</f>
        <v>6.74</v>
      </c>
      <c r="T12" s="10">
        <f>VLOOKUP(A12,'[1]19_DIAL100_RES'!B:H,6,0)</f>
        <v>80.209973753280835</v>
      </c>
      <c r="U12" s="10">
        <f>VLOOKUP(A12,'[1]20_CCTV_360'!B:N,13,0)</f>
        <v>0</v>
      </c>
      <c r="V12" s="11">
        <f>VLOOKUP(A12,'[1]21_NEWS360AI'!B:E,4,0)</f>
        <v>0</v>
      </c>
    </row>
    <row r="13" spans="1:22" s="13" customFormat="1" ht="23.55" customHeight="1">
      <c r="A13" s="9" t="s">
        <v>33</v>
      </c>
      <c r="B13" s="10" t="str">
        <f>VLOOKUP(A13,'[1]1_MEDLEAPR_PME'!B:H,6,0)</f>
        <v>100.00</v>
      </c>
      <c r="C13" s="10">
        <f>VLOOKUP(A13,'[1]2_MEDLEAPR_MLC'!B:I,6,0)</f>
        <v>100</v>
      </c>
      <c r="D13" s="11">
        <f>VLOOKUP(A13,'[1]3_NATGRID'!B:H,6,0)</f>
        <v>0</v>
      </c>
      <c r="E13" s="11">
        <f>VLOOKUP(A13,'[1]4_DGP_DASH'!B:E,3,0)</f>
        <v>100</v>
      </c>
      <c r="F13" s="10">
        <f>VLOOKUP(A13,'[1]5_CCTNS_TILL'!B:P,14,0)</f>
        <v>72.950940559021191</v>
      </c>
      <c r="G13" s="10">
        <f>VLOOKUP(A13,'[1]6_CCTNS_1_7'!B:P,14,0)</f>
        <v>36.363636363636367</v>
      </c>
      <c r="H13" s="11">
        <f>VLOOKUP(A13,'[1]7_CCTNS_8_15'!B:M,11,0)</f>
        <v>0</v>
      </c>
      <c r="I13" s="12">
        <f>VLOOKUP(A13,'[1]8_ZERO_FIRS'!B:H,6,0)</f>
        <v>100</v>
      </c>
      <c r="J13" s="10">
        <f>VLOOKUP(A13,'[1]9_CITIZEN_PORTAL'!B:H,6,0)</f>
        <v>100</v>
      </c>
      <c r="K13" s="10">
        <f>VLOOKUP(A13,'[1]10_ESAKSHYA'!B:L,10,0)</f>
        <v>39.42307692307692</v>
      </c>
      <c r="L13" s="12">
        <f>VLOOKUP(A13,'[1]11_CRIMAC'!B:G,5,0)</f>
        <v>100</v>
      </c>
      <c r="M13" s="10">
        <f>VLOOKUP(A13,'[1]12_CEIR'!B:M,10,0)</f>
        <v>41.095890410958901</v>
      </c>
      <c r="N13" s="12">
        <f>VLOOKUP(A13,'[1]13_EPROSEC'!B:E,3,0)</f>
        <v>0</v>
      </c>
      <c r="O13" s="10">
        <f>VLOOKUP(A13,'[1]14_FIR_CS_COURT'!B:L,11,0)</f>
        <v>16.748768472906406</v>
      </c>
      <c r="P13" s="10">
        <f>VLOOKUP(A13,'[1]15_EOFFICE'!C:P,12,0)</f>
        <v>0</v>
      </c>
      <c r="Q13" s="10">
        <f>VLOOKUP(A13,'[1]16_APOLIS'!B:K,10,0)</f>
        <v>50</v>
      </c>
      <c r="R13" s="10" t="str">
        <f>VLOOKUP(A13,'[1]17_DRONE_FLYING'!B:G,5,0)</f>
        <v>50</v>
      </c>
      <c r="S13" s="10" t="str">
        <f>VLOOKUP(A13,'[1]17_DRONE_FLYING'!B:G,5,0)</f>
        <v>50</v>
      </c>
      <c r="T13" s="10">
        <f>VLOOKUP(A13,'[1]19_DIAL100_RES'!B:H,6,0)</f>
        <v>70.131233595800524</v>
      </c>
      <c r="U13" s="10">
        <f>VLOOKUP(A13,'[1]20_CCTV_360'!B:N,13,0)</f>
        <v>33.333333333333336</v>
      </c>
      <c r="V13" s="11">
        <f>VLOOKUP(A13,'[1]21_NEWS360AI'!B:E,4,0)</f>
        <v>0</v>
      </c>
    </row>
    <row r="14" spans="1:22" s="13" customFormat="1" ht="23.55" customHeight="1">
      <c r="A14" s="9" t="s">
        <v>34</v>
      </c>
      <c r="B14" s="10" t="str">
        <f>VLOOKUP(A14,'[1]1_MEDLEAPR_PME'!B:H,6,0)</f>
        <v>100.00</v>
      </c>
      <c r="C14" s="10">
        <f>VLOOKUP(A14,'[1]2_MEDLEAPR_MLC'!B:I,6,0)</f>
        <v>100</v>
      </c>
      <c r="D14" s="11">
        <f>VLOOKUP(A14,'[1]3_NATGRID'!B:H,6,0)</f>
        <v>0</v>
      </c>
      <c r="E14" s="11">
        <f>VLOOKUP(A14,'[1]4_DGP_DASH'!B:E,3,0)</f>
        <v>100</v>
      </c>
      <c r="F14" s="10">
        <f>VLOOKUP(A14,'[1]5_CCTNS_TILL'!B:P,14,0)</f>
        <v>86.838990664363152</v>
      </c>
      <c r="G14" s="10">
        <f>VLOOKUP(A14,'[1]6_CCTNS_1_7'!B:P,14,0)</f>
        <v>27.27272727272727</v>
      </c>
      <c r="H14" s="11">
        <f>VLOOKUP(A14,'[1]7_CCTNS_8_15'!B:M,11,0)</f>
        <v>0</v>
      </c>
      <c r="I14" s="12">
        <f>VLOOKUP(A14,'[1]8_ZERO_FIRS'!B:H,6,0)</f>
        <v>100</v>
      </c>
      <c r="J14" s="10">
        <f>VLOOKUP(A14,'[1]9_CITIZEN_PORTAL'!B:H,6,0)</f>
        <v>100</v>
      </c>
      <c r="K14" s="10">
        <f>VLOOKUP(A14,'[1]10_ESAKSHYA'!B:L,10,0)</f>
        <v>41.43426294820717</v>
      </c>
      <c r="L14" s="12">
        <f>VLOOKUP(A14,'[1]11_CRIMAC'!B:G,5,0)</f>
        <v>100</v>
      </c>
      <c r="M14" s="10">
        <f>VLOOKUP(A14,'[1]12_CEIR'!B:M,10,0)</f>
        <v>5.4794520547945202</v>
      </c>
      <c r="N14" s="12">
        <f>VLOOKUP(A14,'[1]13_EPROSEC'!B:E,3,0)</f>
        <v>0</v>
      </c>
      <c r="O14" s="10">
        <f>VLOOKUP(A14,'[1]14_FIR_CS_COURT'!B:L,11,0)</f>
        <v>27.307692307692307</v>
      </c>
      <c r="P14" s="10">
        <f>VLOOKUP(A14,'[1]15_EOFFICE'!C:P,12,0)</f>
        <v>50</v>
      </c>
      <c r="Q14" s="10">
        <f>VLOOKUP(A14,'[1]16_APOLIS'!B:K,10,0)</f>
        <v>50</v>
      </c>
      <c r="R14" s="10">
        <f>VLOOKUP(A14,'[1]17_DRONE_FLYING'!B:G,5,0)</f>
        <v>62.92</v>
      </c>
      <c r="S14" s="10">
        <f>VLOOKUP(A14,'[1]17_DRONE_FLYING'!B:G,5,0)</f>
        <v>62.92</v>
      </c>
      <c r="T14" s="10">
        <f>VLOOKUP(A14,'[1]19_DIAL100_RES'!B:H,6,0)</f>
        <v>0</v>
      </c>
      <c r="U14" s="10">
        <f>VLOOKUP(A14,'[1]20_CCTV_360'!B:N,13,0)</f>
        <v>33.333333333333336</v>
      </c>
      <c r="V14" s="11">
        <f>VLOOKUP(A14,'[1]21_NEWS360AI'!B:E,4,0)</f>
        <v>0</v>
      </c>
    </row>
    <row r="15" spans="1:22" s="13" customFormat="1" ht="23.55" customHeight="1">
      <c r="A15" s="14" t="s">
        <v>35</v>
      </c>
      <c r="B15" s="10" t="str">
        <f>VLOOKUP(A15,'[1]1_MEDLEAPR_PME'!B:H,6,0)</f>
        <v>100.00</v>
      </c>
      <c r="C15" s="10">
        <f>VLOOKUP(A15,'[1]2_MEDLEAPR_MLC'!B:I,6,0)</f>
        <v>100</v>
      </c>
      <c r="D15" s="11">
        <f>VLOOKUP(A15,'[1]3_NATGRID'!B:H,6,0)</f>
        <v>0</v>
      </c>
      <c r="E15" s="11">
        <f>VLOOKUP(A15,'[1]4_DGP_DASH'!B:E,3,0)</f>
        <v>100</v>
      </c>
      <c r="F15" s="10">
        <f>VLOOKUP(A15,'[1]5_CCTNS_TILL'!B:P,14,0)</f>
        <v>75.375199137827437</v>
      </c>
      <c r="G15" s="10">
        <f>VLOOKUP(A15,'[1]6_CCTNS_1_7'!B:P,14,0)</f>
        <v>58.181818181818187</v>
      </c>
      <c r="H15" s="11">
        <f>VLOOKUP(A15,'[1]7_CCTNS_8_15'!B:M,11,0)</f>
        <v>0</v>
      </c>
      <c r="I15" s="12">
        <f>VLOOKUP(A15,'[1]8_ZERO_FIRS'!B:H,6,0)</f>
        <v>100</v>
      </c>
      <c r="J15" s="10">
        <f>VLOOKUP(A15,'[1]9_CITIZEN_PORTAL'!B:H,6,0)</f>
        <v>100</v>
      </c>
      <c r="K15" s="10">
        <f>VLOOKUP(A15,'[1]10_ESAKSHYA'!B:L,10,0)</f>
        <v>42.265795206971674</v>
      </c>
      <c r="L15" s="12">
        <f>VLOOKUP(A15,'[1]11_CRIMAC'!B:G,5,0)</f>
        <v>100</v>
      </c>
      <c r="M15" s="10">
        <f>VLOOKUP(A15,'[1]12_CEIR'!B:M,10,0)</f>
        <v>5.4794520547945202</v>
      </c>
      <c r="N15" s="12">
        <f>VLOOKUP(A15,'[1]13_EPROSEC'!B:E,3,0)</f>
        <v>0</v>
      </c>
      <c r="O15" s="10">
        <f>VLOOKUP(A15,'[1]14_FIR_CS_COURT'!B:L,11,0)</f>
        <v>29.967426710097719</v>
      </c>
      <c r="P15" s="10">
        <f>VLOOKUP(A15,'[1]15_EOFFICE'!C:P,12,0)</f>
        <v>50</v>
      </c>
      <c r="Q15" s="10">
        <f>VLOOKUP(A15,'[1]16_APOLIS'!B:K,10,0)</f>
        <v>46.153846153846153</v>
      </c>
      <c r="R15" s="10">
        <f>VLOOKUP(A15,'[1]17_DRONE_FLYING'!B:G,5,0)</f>
        <v>42.7</v>
      </c>
      <c r="S15" s="10">
        <f>VLOOKUP(A15,'[1]17_DRONE_FLYING'!B:G,5,0)</f>
        <v>42.7</v>
      </c>
      <c r="T15" s="10">
        <f>VLOOKUP(A15,'[1]19_DIAL100_RES'!B:H,6,0)</f>
        <v>88.818897637795274</v>
      </c>
      <c r="U15" s="10">
        <f>VLOOKUP(A15,'[1]20_CCTV_360'!B:N,13,0)</f>
        <v>44.44444444444445</v>
      </c>
      <c r="V15" s="11">
        <f>VLOOKUP(A15,'[1]21_NEWS360AI'!B:E,4,0)</f>
        <v>0</v>
      </c>
    </row>
    <row r="16" spans="1:22" s="13" customFormat="1" ht="23.55" customHeight="1">
      <c r="A16" s="9" t="s">
        <v>36</v>
      </c>
      <c r="B16" s="10">
        <f>VLOOKUP(A16,'[1]1_MEDLEAPR_PME'!B:H,6,0)</f>
        <v>0</v>
      </c>
      <c r="C16" s="10" t="str">
        <f>VLOOKUP(A16,'[1]2_MEDLEAPR_MLC'!B:I,6,0)</f>
        <v>100.00</v>
      </c>
      <c r="D16" s="11">
        <f>VLOOKUP(A16,'[1]3_NATGRID'!B:H,6,0)</f>
        <v>0</v>
      </c>
      <c r="E16" s="11">
        <f>VLOOKUP(A16,'[1]4_DGP_DASH'!B:E,3,0)</f>
        <v>100</v>
      </c>
      <c r="F16" s="10">
        <f>VLOOKUP(A16,'[1]5_CCTNS_TILL'!B:P,14,0)</f>
        <v>75.715568199041641</v>
      </c>
      <c r="G16" s="10">
        <f>VLOOKUP(A16,'[1]6_CCTNS_1_7'!B:P,14,0)</f>
        <v>0</v>
      </c>
      <c r="H16" s="11">
        <f>VLOOKUP(A16,'[1]7_CCTNS_8_15'!B:M,11,0)</f>
        <v>0</v>
      </c>
      <c r="I16" s="12">
        <f>VLOOKUP(A16,'[1]8_ZERO_FIRS'!B:H,6,0)</f>
        <v>100</v>
      </c>
      <c r="J16" s="10">
        <f>VLOOKUP(A16,'[1]9_CITIZEN_PORTAL'!B:H,6,0)</f>
        <v>100</v>
      </c>
      <c r="K16" s="10">
        <f>VLOOKUP(A16,'[1]10_ESAKSHYA'!B:L,10,0)</f>
        <v>87.378640776699029</v>
      </c>
      <c r="L16" s="12">
        <f>VLOOKUP(A16,'[1]11_CRIMAC'!B:G,5,0)</f>
        <v>100</v>
      </c>
      <c r="M16" s="10">
        <f>VLOOKUP(A16,'[1]12_CEIR'!B:M,10,0)</f>
        <v>8.2191780821917817</v>
      </c>
      <c r="N16" s="12">
        <f>VLOOKUP(A16,'[1]13_EPROSEC'!B:E,3,0)</f>
        <v>0</v>
      </c>
      <c r="O16" s="10">
        <f>VLOOKUP(A16,'[1]14_FIR_CS_COURT'!B:L,11,0)</f>
        <v>35.07462686567164</v>
      </c>
      <c r="P16" s="10">
        <f>VLOOKUP(A16,'[1]15_EOFFICE'!C:P,12,0)</f>
        <v>85.57</v>
      </c>
      <c r="Q16" s="10">
        <f>VLOOKUP(A16,'[1]16_APOLIS'!B:K,10,0)</f>
        <v>45.918367346938773</v>
      </c>
      <c r="R16" s="10" t="str">
        <f>VLOOKUP(A16,'[1]17_DRONE_FLYING'!B:G,5,0)</f>
        <v>50</v>
      </c>
      <c r="S16" s="10" t="str">
        <f>VLOOKUP(A16,'[1]17_DRONE_FLYING'!B:G,5,0)</f>
        <v>50</v>
      </c>
      <c r="T16" s="10">
        <f>VLOOKUP(A16,'[1]19_DIAL100_RES'!B:H,6,0)</f>
        <v>91.653543307086608</v>
      </c>
      <c r="U16" s="10">
        <f>VLOOKUP(A16,'[1]20_CCTV_360'!B:N,13,0)</f>
        <v>43.589743589743591</v>
      </c>
      <c r="V16" s="11">
        <f>VLOOKUP(A16,'[1]21_NEWS360AI'!B:E,4,0)</f>
        <v>0</v>
      </c>
    </row>
    <row r="17" spans="1:22" s="13" customFormat="1" ht="23.55" customHeight="1">
      <c r="A17" s="9" t="s">
        <v>37</v>
      </c>
      <c r="B17" s="10">
        <f>VLOOKUP(A17,'[1]1_MEDLEAPR_PME'!B:H,6,0)</f>
        <v>100</v>
      </c>
      <c r="C17" s="10" t="str">
        <f>VLOOKUP(A17,'[1]2_MEDLEAPR_MLC'!B:I,6,0)</f>
        <v>100.00</v>
      </c>
      <c r="D17" s="11">
        <f>VLOOKUP(A17,'[1]3_NATGRID'!B:H,6,0)</f>
        <v>0</v>
      </c>
      <c r="E17" s="11">
        <f>VLOOKUP(A17,'[1]4_DGP_DASH'!B:E,3,0)</f>
        <v>100</v>
      </c>
      <c r="F17" s="10">
        <f>VLOOKUP(A17,'[1]5_CCTNS_TILL'!B:P,14,0)</f>
        <v>82.043907969685563</v>
      </c>
      <c r="G17" s="10">
        <f>VLOOKUP(A17,'[1]6_CCTNS_1_7'!B:P,14,0)</f>
        <v>27.27272727272727</v>
      </c>
      <c r="H17" s="11">
        <f>VLOOKUP(A17,'[1]7_CCTNS_8_15'!B:M,11,0)</f>
        <v>0</v>
      </c>
      <c r="I17" s="12">
        <f>VLOOKUP(A17,'[1]8_ZERO_FIRS'!B:H,6,0)</f>
        <v>100</v>
      </c>
      <c r="J17" s="10">
        <f>VLOOKUP(A17,'[1]9_CITIZEN_PORTAL'!B:H,6,0)</f>
        <v>100</v>
      </c>
      <c r="K17" s="10">
        <f>VLOOKUP(A17,'[1]10_ESAKSHYA'!B:L,10,0)</f>
        <v>96.812749003984067</v>
      </c>
      <c r="L17" s="12">
        <f>VLOOKUP(A17,'[1]11_CRIMAC'!B:G,5,0)</f>
        <v>100</v>
      </c>
      <c r="M17" s="10">
        <f>VLOOKUP(A17,'[1]12_CEIR'!B:M,10,0)</f>
        <v>84.93150684931507</v>
      </c>
      <c r="N17" s="12">
        <f>VLOOKUP(A17,'[1]13_EPROSEC'!B:E,3,0)</f>
        <v>0</v>
      </c>
      <c r="O17" s="10">
        <f>VLOOKUP(A17,'[1]14_FIR_CS_COURT'!B:L,11,0)</f>
        <v>32.911392405063289</v>
      </c>
      <c r="P17" s="10">
        <f>VLOOKUP(A17,'[1]15_EOFFICE'!C:P,12,0)</f>
        <v>94.6</v>
      </c>
      <c r="Q17" s="10">
        <f>VLOOKUP(A17,'[1]16_APOLIS'!B:K,10,0)</f>
        <v>43.333333333333329</v>
      </c>
      <c r="R17" s="10" t="str">
        <f>VLOOKUP(A17,'[1]17_DRONE_FLYING'!B:G,5,0)</f>
        <v>50</v>
      </c>
      <c r="S17" s="10" t="str">
        <f>VLOOKUP(A17,'[1]17_DRONE_FLYING'!B:G,5,0)</f>
        <v>50</v>
      </c>
      <c r="T17" s="10">
        <f>VLOOKUP(A17,'[1]19_DIAL100_RES'!B:H,6,0)</f>
        <v>35.01312335958005</v>
      </c>
      <c r="U17" s="10">
        <f>VLOOKUP(A17,'[1]20_CCTV_360'!B:N,13,0)</f>
        <v>0</v>
      </c>
      <c r="V17" s="11">
        <f>VLOOKUP(A17,'[1]21_NEWS360AI'!B:E,4,0)</f>
        <v>0</v>
      </c>
    </row>
    <row r="18" spans="1:22" s="13" customFormat="1" ht="23.55" customHeight="1">
      <c r="A18" s="9" t="s">
        <v>38</v>
      </c>
      <c r="B18" s="10" t="str">
        <f>VLOOKUP(A18,'[1]1_MEDLEAPR_PME'!B:H,6,0)</f>
        <v>100.00</v>
      </c>
      <c r="C18" s="10" t="str">
        <f>VLOOKUP(A18,'[1]2_MEDLEAPR_MLC'!B:I,6,0)</f>
        <v>100.00</v>
      </c>
      <c r="D18" s="11">
        <f>VLOOKUP(A18,'[1]3_NATGRID'!B:H,6,0)</f>
        <v>0</v>
      </c>
      <c r="E18" s="11">
        <f>VLOOKUP(A18,'[1]4_DGP_DASH'!B:E,3,0)</f>
        <v>100</v>
      </c>
      <c r="F18" s="10">
        <f>VLOOKUP(A18,'[1]5_CCTNS_TILL'!B:P,14,0)</f>
        <v>76.272629390253968</v>
      </c>
      <c r="G18" s="10">
        <f>VLOOKUP(A18,'[1]6_CCTNS_1_7'!B:P,14,0)</f>
        <v>9.0909090909090917</v>
      </c>
      <c r="H18" s="11">
        <f>VLOOKUP(A18,'[1]7_CCTNS_8_15'!B:M,11,0)</f>
        <v>0</v>
      </c>
      <c r="I18" s="12">
        <f>VLOOKUP(A18,'[1]8_ZERO_FIRS'!B:H,6,0)</f>
        <v>100</v>
      </c>
      <c r="J18" s="10">
        <f>VLOOKUP(A18,'[1]9_CITIZEN_PORTAL'!B:H,6,0)</f>
        <v>100</v>
      </c>
      <c r="K18" s="10">
        <f>VLOOKUP(A18,'[1]10_ESAKSHYA'!B:L,10,0)</f>
        <v>28.8135593220339</v>
      </c>
      <c r="L18" s="12">
        <f>VLOOKUP(A18,'[1]11_CRIMAC'!B:G,5,0)</f>
        <v>100</v>
      </c>
      <c r="M18" s="10">
        <f>VLOOKUP(A18,'[1]12_CEIR'!B:M,10,0)</f>
        <v>0</v>
      </c>
      <c r="N18" s="12">
        <f>VLOOKUP(A18,'[1]13_EPROSEC'!B:E,3,0)</f>
        <v>0</v>
      </c>
      <c r="O18" s="10">
        <f>VLOOKUP(A18,'[1]14_FIR_CS_COURT'!B:L,11,0)</f>
        <v>44.117647058823529</v>
      </c>
      <c r="P18" s="10">
        <f>VLOOKUP(A18,'[1]15_EOFFICE'!C:P,12,0)</f>
        <v>89.19</v>
      </c>
      <c r="Q18" s="10">
        <f>VLOOKUP(A18,'[1]16_APOLIS'!B:K,10,0)</f>
        <v>42.10526315789474</v>
      </c>
      <c r="R18" s="10" t="str">
        <f>VLOOKUP(A18,'[1]17_DRONE_FLYING'!B:G,5,0)</f>
        <v>50</v>
      </c>
      <c r="S18" s="10" t="str">
        <f>VLOOKUP(A18,'[1]17_DRONE_FLYING'!B:G,5,0)</f>
        <v>50</v>
      </c>
      <c r="T18" s="10">
        <f>VLOOKUP(A18,'[1]19_DIAL100_RES'!B:H,6,0)</f>
        <v>91.233595800524938</v>
      </c>
      <c r="U18" s="10">
        <f>VLOOKUP(A18,'[1]20_CCTV_360'!B:N,13,0)</f>
        <v>36.111111111111107</v>
      </c>
      <c r="V18" s="11">
        <f>VLOOKUP(A18,'[1]21_NEWS360AI'!B:E,4,0)</f>
        <v>0</v>
      </c>
    </row>
    <row r="19" spans="1:22" s="13" customFormat="1" ht="23.55" customHeight="1">
      <c r="A19" s="14" t="s">
        <v>39</v>
      </c>
      <c r="B19" s="10" t="str">
        <f>VLOOKUP(A19,'[1]1_MEDLEAPR_PME'!B:H,6,0)</f>
        <v>100.00</v>
      </c>
      <c r="C19" s="10" t="str">
        <f>VLOOKUP(A19,'[1]2_MEDLEAPR_MLC'!B:I,6,0)</f>
        <v>100.00</v>
      </c>
      <c r="D19" s="11">
        <f>VLOOKUP(A19,'[1]3_NATGRID'!B:H,6,0)</f>
        <v>0</v>
      </c>
      <c r="E19" s="11">
        <f>VLOOKUP(A19,'[1]4_DGP_DASH'!B:E,3,0)</f>
        <v>100</v>
      </c>
      <c r="F19" s="10">
        <f>VLOOKUP(A19,'[1]5_CCTNS_TILL'!B:P,14,0)</f>
        <v>61.764203767294731</v>
      </c>
      <c r="G19" s="10">
        <f>VLOOKUP(A19,'[1]6_CCTNS_1_7'!B:P,14,0)</f>
        <v>50</v>
      </c>
      <c r="H19" s="11">
        <f>VLOOKUP(A19,'[1]7_CCTNS_8_15'!B:M,11,0)</f>
        <v>0</v>
      </c>
      <c r="I19" s="12">
        <f>VLOOKUP(A19,'[1]8_ZERO_FIRS'!B:H,6,0)</f>
        <v>100</v>
      </c>
      <c r="J19" s="10">
        <f>VLOOKUP(A19,'[1]9_CITIZEN_PORTAL'!B:H,6,0)</f>
        <v>100</v>
      </c>
      <c r="K19" s="10">
        <f>VLOOKUP(A19,'[1]10_ESAKSHYA'!B:L,10,0)</f>
        <v>50</v>
      </c>
      <c r="L19" s="12">
        <f>VLOOKUP(A19,'[1]11_CRIMAC'!B:G,5,0)</f>
        <v>100</v>
      </c>
      <c r="M19" s="10">
        <f>VLOOKUP(A19,'[1]12_CEIR'!B:M,10,0)</f>
        <v>28.767123287671232</v>
      </c>
      <c r="N19" s="12">
        <f>VLOOKUP(A19,'[1]13_EPROSEC'!B:E,3,0)</f>
        <v>0</v>
      </c>
      <c r="O19" s="10">
        <f>VLOOKUP(A19,'[1]14_FIR_CS_COURT'!B:L,11,0)</f>
        <v>50</v>
      </c>
      <c r="P19" s="10">
        <f>VLOOKUP(A19,'[1]15_EOFFICE'!C:P,12,0)</f>
        <v>32.99</v>
      </c>
      <c r="Q19" s="10">
        <f>VLOOKUP(A19,'[1]16_APOLIS'!B:K,10,0)</f>
        <v>40.425531914893618</v>
      </c>
      <c r="R19" s="10" t="str">
        <f>VLOOKUP(A19,'[1]17_DRONE_FLYING'!B:G,5,0)</f>
        <v>50</v>
      </c>
      <c r="S19" s="10" t="str">
        <f>VLOOKUP(A19,'[1]17_DRONE_FLYING'!B:G,5,0)</f>
        <v>50</v>
      </c>
      <c r="T19" s="10">
        <f>VLOOKUP(A19,'[1]19_DIAL100_RES'!B:H,6,0)</f>
        <v>50</v>
      </c>
      <c r="U19" s="10">
        <f>VLOOKUP(A19,'[1]20_CCTV_360'!B:N,13,0)</f>
        <v>65.17094017094017</v>
      </c>
      <c r="V19" s="11">
        <f>VLOOKUP(A19,'[1]21_NEWS360AI'!B:E,4,0)</f>
        <v>0</v>
      </c>
    </row>
    <row r="20" spans="1:22" s="13" customFormat="1" ht="23.55" customHeight="1">
      <c r="A20" s="9" t="s">
        <v>40</v>
      </c>
      <c r="B20" s="10" t="str">
        <f>VLOOKUP(A20,'[1]1_MEDLEAPR_PME'!B:H,6,0)</f>
        <v>100.00</v>
      </c>
      <c r="C20" s="10">
        <f>VLOOKUP(A20,'[1]2_MEDLEAPR_MLC'!B:I,6,0)</f>
        <v>0</v>
      </c>
      <c r="D20" s="11">
        <f>VLOOKUP(A20,'[1]3_NATGRID'!B:H,6,0)</f>
        <v>0</v>
      </c>
      <c r="E20" s="11">
        <f>VLOOKUP(A20,'[1]4_DGP_DASH'!B:E,3,0)</f>
        <v>100</v>
      </c>
      <c r="F20" s="10">
        <f>VLOOKUP(A20,'[1]5_CCTNS_TILL'!B:P,14,0)</f>
        <v>74.523790092222313</v>
      </c>
      <c r="G20" s="10">
        <f>VLOOKUP(A20,'[1]6_CCTNS_1_7'!B:P,14,0)</f>
        <v>54.54545454545454</v>
      </c>
      <c r="H20" s="11">
        <f>VLOOKUP(A20,'[1]7_CCTNS_8_15'!B:M,11,0)</f>
        <v>0</v>
      </c>
      <c r="I20" s="12">
        <f>VLOOKUP(A20,'[1]8_ZERO_FIRS'!B:H,6,0)</f>
        <v>100</v>
      </c>
      <c r="J20" s="10">
        <f>VLOOKUP(A20,'[1]9_CITIZEN_PORTAL'!B:H,6,0)</f>
        <v>100</v>
      </c>
      <c r="K20" s="10">
        <f>VLOOKUP(A20,'[1]10_ESAKSHYA'!B:L,10,0)</f>
        <v>98.543689320388353</v>
      </c>
      <c r="L20" s="12">
        <f>VLOOKUP(A20,'[1]11_CRIMAC'!B:G,5,0)</f>
        <v>100</v>
      </c>
      <c r="M20" s="10">
        <f>VLOOKUP(A20,'[1]12_CEIR'!B:M,10,0)</f>
        <v>0</v>
      </c>
      <c r="N20" s="12">
        <f>VLOOKUP(A20,'[1]13_EPROSEC'!B:E,3,0)</f>
        <v>0</v>
      </c>
      <c r="O20" s="10">
        <f>VLOOKUP(A20,'[1]14_FIR_CS_COURT'!B:L,11,0)</f>
        <v>25</v>
      </c>
      <c r="P20" s="10">
        <f>VLOOKUP(A20,'[1]15_EOFFICE'!C:P,12,0)</f>
        <v>95.14</v>
      </c>
      <c r="Q20" s="10">
        <f>VLOOKUP(A20,'[1]16_APOLIS'!B:K,10,0)</f>
        <v>39.0625</v>
      </c>
      <c r="R20" s="10" t="str">
        <f>VLOOKUP(A20,'[1]17_DRONE_FLYING'!B:G,5,0)</f>
        <v>50</v>
      </c>
      <c r="S20" s="10" t="str">
        <f>VLOOKUP(A20,'[1]17_DRONE_FLYING'!B:G,5,0)</f>
        <v>50</v>
      </c>
      <c r="T20" s="10">
        <f>VLOOKUP(A20,'[1]19_DIAL100_RES'!B:H,6,0)</f>
        <v>88.818897637795274</v>
      </c>
      <c r="U20" s="10">
        <f>VLOOKUP(A20,'[1]20_CCTV_360'!B:N,13,0)</f>
        <v>89.743589743589737</v>
      </c>
      <c r="V20" s="11">
        <f>VLOOKUP(A20,'[1]21_NEWS360AI'!B:E,4,0)</f>
        <v>0</v>
      </c>
    </row>
    <row r="21" spans="1:22" s="13" customFormat="1" ht="23.55" customHeight="1">
      <c r="A21" s="9" t="s">
        <v>41</v>
      </c>
      <c r="B21" s="10" t="str">
        <f>VLOOKUP(A21,'[1]1_MEDLEAPR_PME'!B:H,6,0)</f>
        <v>100.00</v>
      </c>
      <c r="C21" s="10" t="str">
        <f>VLOOKUP(A21,'[1]2_MEDLEAPR_MLC'!B:I,6,0)</f>
        <v>100.00</v>
      </c>
      <c r="D21" s="11">
        <f>VLOOKUP(A21,'[1]3_NATGRID'!B:H,6,0)</f>
        <v>0</v>
      </c>
      <c r="E21" s="11">
        <f>VLOOKUP(A21,'[1]4_DGP_DASH'!B:E,3,0)</f>
        <v>100</v>
      </c>
      <c r="F21" s="10">
        <f>VLOOKUP(A21,'[1]5_CCTNS_TILL'!B:P,14,0)</f>
        <v>67.837404848749017</v>
      </c>
      <c r="G21" s="10">
        <f>VLOOKUP(A21,'[1]6_CCTNS_1_7'!B:P,14,0)</f>
        <v>50</v>
      </c>
      <c r="H21" s="11">
        <f>VLOOKUP(A21,'[1]7_CCTNS_8_15'!B:M,11,0)</f>
        <v>0</v>
      </c>
      <c r="I21" s="12">
        <f>VLOOKUP(A21,'[1]8_ZERO_FIRS'!B:H,6,0)</f>
        <v>100</v>
      </c>
      <c r="J21" s="10">
        <f>VLOOKUP(A21,'[1]9_CITIZEN_PORTAL'!B:H,6,0)</f>
        <v>100</v>
      </c>
      <c r="K21" s="10">
        <f>VLOOKUP(A21,'[1]10_ESAKSHYA'!B:L,10,0)</f>
        <v>77.868852459016395</v>
      </c>
      <c r="L21" s="12">
        <f>VLOOKUP(A21,'[1]11_CRIMAC'!B:G,5,0)</f>
        <v>100</v>
      </c>
      <c r="M21" s="10">
        <f>VLOOKUP(A21,'[1]12_CEIR'!B:M,10,0)</f>
        <v>10.95890410958904</v>
      </c>
      <c r="N21" s="12">
        <f>VLOOKUP(A21,'[1]13_EPROSEC'!B:E,3,0)</f>
        <v>0</v>
      </c>
      <c r="O21" s="10">
        <f>VLOOKUP(A21,'[1]14_FIR_CS_COURT'!B:L,11,0)</f>
        <v>38.46153846153846</v>
      </c>
      <c r="P21" s="10">
        <f>VLOOKUP(A21,'[1]15_EOFFICE'!C:P,12,0)</f>
        <v>97.44</v>
      </c>
      <c r="Q21" s="10">
        <f>VLOOKUP(A21,'[1]16_APOLIS'!B:K,10,0)</f>
        <v>36.458333333333336</v>
      </c>
      <c r="R21" s="10">
        <f>VLOOKUP(A21,'[1]17_DRONE_FLYING'!B:G,5,0)</f>
        <v>84.27</v>
      </c>
      <c r="S21" s="10">
        <f>VLOOKUP(A21,'[1]17_DRONE_FLYING'!B:G,5,0)</f>
        <v>84.27</v>
      </c>
      <c r="T21" s="10">
        <f>VLOOKUP(A21,'[1]19_DIAL100_RES'!B:H,6,0)</f>
        <v>50</v>
      </c>
      <c r="U21" s="10">
        <f>VLOOKUP(A21,'[1]20_CCTV_360'!B:N,13,0)</f>
        <v>57.051282051282051</v>
      </c>
      <c r="V21" s="11">
        <f>VLOOKUP(A21,'[1]21_NEWS360AI'!B:E,4,0)</f>
        <v>0</v>
      </c>
    </row>
    <row r="22" spans="1:22" s="13" customFormat="1" ht="23.55" customHeight="1">
      <c r="A22" s="9" t="s">
        <v>42</v>
      </c>
      <c r="B22" s="10" t="str">
        <f>VLOOKUP(A22,'[1]1_MEDLEAPR_PME'!B:H,6,0)</f>
        <v>100.00</v>
      </c>
      <c r="C22" s="10" t="str">
        <f>VLOOKUP(A22,'[1]2_MEDLEAPR_MLC'!B:I,6,0)</f>
        <v>100.00</v>
      </c>
      <c r="D22" s="11">
        <f>VLOOKUP(A22,'[1]3_NATGRID'!B:H,6,0)</f>
        <v>0</v>
      </c>
      <c r="E22" s="11">
        <f>VLOOKUP(A22,'[1]4_DGP_DASH'!B:E,3,0)</f>
        <v>100</v>
      </c>
      <c r="F22" s="10">
        <f>VLOOKUP(A22,'[1]5_CCTNS_TILL'!B:P,14,0)</f>
        <v>78.523017117084166</v>
      </c>
      <c r="G22" s="10">
        <f>VLOOKUP(A22,'[1]6_CCTNS_1_7'!B:P,14,0)</f>
        <v>12.121212121212119</v>
      </c>
      <c r="H22" s="11">
        <f>VLOOKUP(A22,'[1]7_CCTNS_8_15'!B:M,11,0)</f>
        <v>0</v>
      </c>
      <c r="I22" s="12">
        <f>VLOOKUP(A22,'[1]8_ZERO_FIRS'!B:H,6,0)</f>
        <v>100</v>
      </c>
      <c r="J22" s="10">
        <f>VLOOKUP(A22,'[1]9_CITIZEN_PORTAL'!B:H,6,0)</f>
        <v>100</v>
      </c>
      <c r="K22" s="10">
        <f>VLOOKUP(A22,'[1]10_ESAKSHYA'!B:L,10,0)</f>
        <v>38.109756097560975</v>
      </c>
      <c r="L22" s="12">
        <f>VLOOKUP(A22,'[1]11_CRIMAC'!B:G,5,0)</f>
        <v>100</v>
      </c>
      <c r="M22" s="10">
        <f>VLOOKUP(A22,'[1]12_CEIR'!B:M,10,0)</f>
        <v>23.287671232876711</v>
      </c>
      <c r="N22" s="12">
        <f>VLOOKUP(A22,'[1]13_EPROSEC'!B:E,3,0)</f>
        <v>0</v>
      </c>
      <c r="O22" s="10">
        <f>VLOOKUP(A22,'[1]14_FIR_CS_COURT'!B:L,11,0)</f>
        <v>17.567567567567568</v>
      </c>
      <c r="P22" s="10">
        <f>VLOOKUP(A22,'[1]15_EOFFICE'!C:P,12,0)</f>
        <v>99.61</v>
      </c>
      <c r="Q22" s="10">
        <f>VLOOKUP(A22,'[1]16_APOLIS'!B:K,10,0)</f>
        <v>32.558139534883722</v>
      </c>
      <c r="R22" s="10" t="str">
        <f>VLOOKUP(A22,'[1]17_DRONE_FLYING'!B:G,5,0)</f>
        <v>50</v>
      </c>
      <c r="S22" s="10" t="str">
        <f>VLOOKUP(A22,'[1]17_DRONE_FLYING'!B:G,5,0)</f>
        <v>50</v>
      </c>
      <c r="T22" s="10">
        <f>VLOOKUP(A22,'[1]19_DIAL100_RES'!B:H,6,0)</f>
        <v>87.454068241469813</v>
      </c>
      <c r="U22" s="10">
        <f>VLOOKUP(A22,'[1]20_CCTV_360'!B:N,13,0)</f>
        <v>38.46153846153846</v>
      </c>
      <c r="V22" s="11">
        <f>VLOOKUP(A22,'[1]21_NEWS360AI'!B:E,4,0)</f>
        <v>0</v>
      </c>
    </row>
    <row r="23" spans="1:22" s="13" customFormat="1" ht="23.55" customHeight="1">
      <c r="A23" s="9" t="s">
        <v>43</v>
      </c>
      <c r="B23" s="10" t="str">
        <f>VLOOKUP(A23,'[1]1_MEDLEAPR_PME'!B:H,6,0)</f>
        <v>100.00</v>
      </c>
      <c r="C23" s="10">
        <f>VLOOKUP(A23,'[1]2_MEDLEAPR_MLC'!B:I,6,0)</f>
        <v>100</v>
      </c>
      <c r="D23" s="11">
        <f>VLOOKUP(A23,'[1]3_NATGRID'!B:H,6,0)</f>
        <v>0</v>
      </c>
      <c r="E23" s="11">
        <f>VLOOKUP(A23,'[1]4_DGP_DASH'!B:E,3,0)</f>
        <v>100</v>
      </c>
      <c r="F23" s="10">
        <f>VLOOKUP(A23,'[1]5_CCTNS_TILL'!B:P,14,0)</f>
        <v>74.709857542100949</v>
      </c>
      <c r="G23" s="10">
        <f>VLOOKUP(A23,'[1]6_CCTNS_1_7'!B:P,14,0)</f>
        <v>9.0909090909090917</v>
      </c>
      <c r="H23" s="11">
        <f>VLOOKUP(A23,'[1]7_CCTNS_8_15'!B:M,11,0)</f>
        <v>0</v>
      </c>
      <c r="I23" s="12">
        <f>VLOOKUP(A23,'[1]8_ZERO_FIRS'!B:H,6,0)</f>
        <v>100</v>
      </c>
      <c r="J23" s="10">
        <f>VLOOKUP(A23,'[1]9_CITIZEN_PORTAL'!B:H,6,0)</f>
        <v>100</v>
      </c>
      <c r="K23" s="10">
        <f>VLOOKUP(A23,'[1]10_ESAKSHYA'!B:L,10,0)</f>
        <v>73.051948051948045</v>
      </c>
      <c r="L23" s="12">
        <f>VLOOKUP(A23,'[1]11_CRIMAC'!B:G,5,0)</f>
        <v>100</v>
      </c>
      <c r="M23" s="10">
        <f>VLOOKUP(A23,'[1]12_CEIR'!B:M,10,0)</f>
        <v>28.767123287671232</v>
      </c>
      <c r="N23" s="12">
        <f>VLOOKUP(A23,'[1]13_EPROSEC'!B:E,3,0)</f>
        <v>0</v>
      </c>
      <c r="O23" s="10">
        <f>VLOOKUP(A23,'[1]14_FIR_CS_COURT'!B:L,11,0)</f>
        <v>32.768361581920907</v>
      </c>
      <c r="P23" s="10">
        <f>VLOOKUP(A23,'[1]15_EOFFICE'!C:P,12,0)</f>
        <v>84.97</v>
      </c>
      <c r="Q23" s="10">
        <f>VLOOKUP(A23,'[1]16_APOLIS'!B:K,10,0)</f>
        <v>32.558139534883722</v>
      </c>
      <c r="R23" s="10">
        <f>VLOOKUP(A23,'[1]17_DRONE_FLYING'!B:G,5,0)</f>
        <v>88.76</v>
      </c>
      <c r="S23" s="10">
        <f>VLOOKUP(A23,'[1]17_DRONE_FLYING'!B:G,5,0)</f>
        <v>88.76</v>
      </c>
      <c r="T23" s="10">
        <f>VLOOKUP(A23,'[1]19_DIAL100_RES'!B:H,6,0)</f>
        <v>67.139107611548553</v>
      </c>
      <c r="U23" s="10">
        <f>VLOOKUP(A23,'[1]20_CCTV_360'!B:N,13,0)</f>
        <v>33.333333333333336</v>
      </c>
      <c r="V23" s="11">
        <f>VLOOKUP(A23,'[1]21_NEWS360AI'!B:E,4,0)</f>
        <v>0</v>
      </c>
    </row>
    <row r="24" spans="1:22" s="13" customFormat="1" ht="23.55" customHeight="1">
      <c r="A24" s="9" t="s">
        <v>44</v>
      </c>
      <c r="B24" s="10" t="str">
        <f>VLOOKUP(A24,'[1]1_MEDLEAPR_PME'!B:H,6,0)</f>
        <v>100.00</v>
      </c>
      <c r="C24" s="10" t="str">
        <f>VLOOKUP(A24,'[1]2_MEDLEAPR_MLC'!B:I,6,0)</f>
        <v>100.00</v>
      </c>
      <c r="D24" s="11">
        <f>VLOOKUP(A24,'[1]3_NATGRID'!B:H,6,0)</f>
        <v>0</v>
      </c>
      <c r="E24" s="11">
        <f>VLOOKUP(A24,'[1]4_DGP_DASH'!B:E,3,0)</f>
        <v>100</v>
      </c>
      <c r="F24" s="10">
        <f>VLOOKUP(A24,'[1]5_CCTNS_TILL'!B:P,14,0)</f>
        <v>73.557354051058596</v>
      </c>
      <c r="G24" s="10">
        <f>VLOOKUP(A24,'[1]6_CCTNS_1_7'!B:P,14,0)</f>
        <v>45.454545454545453</v>
      </c>
      <c r="H24" s="11">
        <f>VLOOKUP(A24,'[1]7_CCTNS_8_15'!B:M,11,0)</f>
        <v>0</v>
      </c>
      <c r="I24" s="12">
        <f>VLOOKUP(A24,'[1]8_ZERO_FIRS'!B:H,6,0)</f>
        <v>100</v>
      </c>
      <c r="J24" s="10">
        <f>VLOOKUP(A24,'[1]9_CITIZEN_PORTAL'!B:H,6,0)</f>
        <v>98.496240601503757</v>
      </c>
      <c r="K24" s="10">
        <f>VLOOKUP(A24,'[1]10_ESAKSHYA'!B:L,10,0)</f>
        <v>95.438596491228068</v>
      </c>
      <c r="L24" s="12">
        <f>VLOOKUP(A24,'[1]11_CRIMAC'!B:G,5,0)</f>
        <v>100</v>
      </c>
      <c r="M24" s="10">
        <f>VLOOKUP(A24,'[1]12_CEIR'!B:M,10,0)</f>
        <v>15.068493150684931</v>
      </c>
      <c r="N24" s="12">
        <f>VLOOKUP(A24,'[1]13_EPROSEC'!B:E,3,0)</f>
        <v>0</v>
      </c>
      <c r="O24" s="10">
        <f>VLOOKUP(A24,'[1]14_FIR_CS_COURT'!B:L,11,0)</f>
        <v>22.916666666666668</v>
      </c>
      <c r="P24" s="10">
        <f>VLOOKUP(A24,'[1]15_EOFFICE'!C:P,12,0)</f>
        <v>71.650000000000006</v>
      </c>
      <c r="Q24" s="10">
        <f>VLOOKUP(A24,'[1]16_APOLIS'!B:K,10,0)</f>
        <v>31.111111111111111</v>
      </c>
      <c r="R24" s="10" t="str">
        <f>VLOOKUP(A24,'[1]17_DRONE_FLYING'!B:G,5,0)</f>
        <v>50</v>
      </c>
      <c r="S24" s="10" t="str">
        <f>VLOOKUP(A24,'[1]17_DRONE_FLYING'!B:G,5,0)</f>
        <v>50</v>
      </c>
      <c r="T24" s="10">
        <f>VLOOKUP(A24,'[1]19_DIAL100_RES'!B:H,6,0)</f>
        <v>71.653543307086608</v>
      </c>
      <c r="U24" s="10">
        <f>VLOOKUP(A24,'[1]20_CCTV_360'!B:N,13,0)</f>
        <v>69.871794871794876</v>
      </c>
      <c r="V24" s="11">
        <f>VLOOKUP(A24,'[1]21_NEWS360AI'!B:E,4,0)</f>
        <v>0</v>
      </c>
    </row>
    <row r="25" spans="1:22" s="13" customFormat="1" ht="23.55" customHeight="1">
      <c r="A25" s="9" t="s">
        <v>45</v>
      </c>
      <c r="B25" s="10">
        <f>VLOOKUP(A25,'[1]1_MEDLEAPR_PME'!B:H,6,0)</f>
        <v>100</v>
      </c>
      <c r="C25" s="10">
        <f>VLOOKUP(A25,'[1]2_MEDLEAPR_MLC'!B:I,6,0)</f>
        <v>100</v>
      </c>
      <c r="D25" s="11">
        <f>VLOOKUP(A25,'[1]3_NATGRID'!B:H,6,0)</f>
        <v>0</v>
      </c>
      <c r="E25" s="11">
        <f>VLOOKUP(A25,'[1]4_DGP_DASH'!B:E,3,0)</f>
        <v>100</v>
      </c>
      <c r="F25" s="10">
        <f>VLOOKUP(A25,'[1]5_CCTNS_TILL'!B:P,14,0)</f>
        <v>75.140185076882034</v>
      </c>
      <c r="G25" s="10">
        <f>VLOOKUP(A25,'[1]6_CCTNS_1_7'!B:P,14,0)</f>
        <v>27.27272727272727</v>
      </c>
      <c r="H25" s="11">
        <f>VLOOKUP(A25,'[1]7_CCTNS_8_15'!B:M,11,0)</f>
        <v>0</v>
      </c>
      <c r="I25" s="12">
        <f>VLOOKUP(A25,'[1]8_ZERO_FIRS'!B:H,6,0)</f>
        <v>100</v>
      </c>
      <c r="J25" s="10">
        <f>VLOOKUP(A25,'[1]9_CITIZEN_PORTAL'!B:H,6,0)</f>
        <v>100</v>
      </c>
      <c r="K25" s="10">
        <f>VLOOKUP(A25,'[1]10_ESAKSHYA'!B:L,10,0)</f>
        <v>58.620689655172413</v>
      </c>
      <c r="L25" s="12">
        <f>VLOOKUP(A25,'[1]11_CRIMAC'!B:G,5,0)</f>
        <v>100</v>
      </c>
      <c r="M25" s="10">
        <f>VLOOKUP(A25,'[1]12_CEIR'!B:M,10,0)</f>
        <v>27.397260273972602</v>
      </c>
      <c r="N25" s="12">
        <f>VLOOKUP(A25,'[1]13_EPROSEC'!B:E,3,0)</f>
        <v>0</v>
      </c>
      <c r="O25" s="10">
        <f>VLOOKUP(A25,'[1]14_FIR_CS_COURT'!B:L,11,0)</f>
        <v>23.98843930635838</v>
      </c>
      <c r="P25" s="10">
        <f>VLOOKUP(A25,'[1]15_EOFFICE'!C:P,12,0)</f>
        <v>93.47</v>
      </c>
      <c r="Q25" s="10">
        <f>VLOOKUP(A25,'[1]16_APOLIS'!B:K,10,0)</f>
        <v>30</v>
      </c>
      <c r="R25" s="10">
        <f>VLOOKUP(A25,'[1]17_DRONE_FLYING'!B:G,5,0)</f>
        <v>83.15</v>
      </c>
      <c r="S25" s="10">
        <f>VLOOKUP(A25,'[1]17_DRONE_FLYING'!B:G,5,0)</f>
        <v>83.15</v>
      </c>
      <c r="T25" s="10">
        <f>VLOOKUP(A25,'[1]19_DIAL100_RES'!B:H,6,0)</f>
        <v>87.191601049868765</v>
      </c>
      <c r="U25" s="10">
        <f>VLOOKUP(A25,'[1]20_CCTV_360'!B:N,13,0)</f>
        <v>38.675213675213676</v>
      </c>
      <c r="V25" s="11">
        <f>VLOOKUP(A25,'[1]21_NEWS360AI'!B:E,4,0)</f>
        <v>0</v>
      </c>
    </row>
    <row r="26" spans="1:22" s="13" customFormat="1" ht="23.55" customHeight="1">
      <c r="A26" s="9" t="s">
        <v>46</v>
      </c>
      <c r="B26" s="10">
        <f>VLOOKUP(A26,'[1]1_MEDLEAPR_PME'!B:H,6,0)</f>
        <v>100</v>
      </c>
      <c r="C26" s="10" t="str">
        <f>VLOOKUP(A26,'[1]2_MEDLEAPR_MLC'!B:I,6,0)</f>
        <v>100.00</v>
      </c>
      <c r="D26" s="11">
        <f>VLOOKUP(A26,'[1]3_NATGRID'!B:H,6,0)</f>
        <v>0</v>
      </c>
      <c r="E26" s="11">
        <f>VLOOKUP(A26,'[1]4_DGP_DASH'!B:E,3,0)</f>
        <v>100</v>
      </c>
      <c r="F26" s="10">
        <f>VLOOKUP(A26,'[1]5_CCTNS_TILL'!B:P,14,0)</f>
        <v>79.895163858026379</v>
      </c>
      <c r="G26" s="10">
        <f>VLOOKUP(A26,'[1]6_CCTNS_1_7'!B:P,14,0)</f>
        <v>9.0909090909090917</v>
      </c>
      <c r="H26" s="11">
        <f>VLOOKUP(A26,'[1]7_CCTNS_8_15'!B:M,11,0)</f>
        <v>0</v>
      </c>
      <c r="I26" s="12">
        <f>VLOOKUP(A26,'[1]8_ZERO_FIRS'!B:H,6,0)</f>
        <v>100</v>
      </c>
      <c r="J26" s="10">
        <f>VLOOKUP(A26,'[1]9_CITIZEN_PORTAL'!B:H,6,0)</f>
        <v>100</v>
      </c>
      <c r="K26" s="10">
        <f>VLOOKUP(A26,'[1]10_ESAKSHYA'!B:L,10,0)</f>
        <v>55.251141552511413</v>
      </c>
      <c r="L26" s="12">
        <f>VLOOKUP(A26,'[1]11_CRIMAC'!B:G,5,0)</f>
        <v>100</v>
      </c>
      <c r="M26" s="10">
        <f>VLOOKUP(A26,'[1]12_CEIR'!B:M,10,0)</f>
        <v>28.767123287671232</v>
      </c>
      <c r="N26" s="12">
        <f>VLOOKUP(A26,'[1]13_EPROSEC'!B:E,3,0)</f>
        <v>0</v>
      </c>
      <c r="O26" s="10">
        <f>VLOOKUP(A26,'[1]14_FIR_CS_COURT'!B:L,11,0)</f>
        <v>38.28125</v>
      </c>
      <c r="P26" s="10">
        <f>VLOOKUP(A26,'[1]15_EOFFICE'!C:P,12,0)</f>
        <v>50</v>
      </c>
      <c r="Q26" s="10">
        <f>VLOOKUP(A26,'[1]16_APOLIS'!B:K,10,0)</f>
        <v>28.571428571428569</v>
      </c>
      <c r="R26" s="10" t="str">
        <f>VLOOKUP(A26,'[1]17_DRONE_FLYING'!B:G,5,0)</f>
        <v>50</v>
      </c>
      <c r="S26" s="10" t="str">
        <f>VLOOKUP(A26,'[1]17_DRONE_FLYING'!B:G,5,0)</f>
        <v>50</v>
      </c>
      <c r="T26" s="10">
        <f>VLOOKUP(A26,'[1]19_DIAL100_RES'!B:H,6,0)</f>
        <v>83.464566929133852</v>
      </c>
      <c r="U26" s="10">
        <f>VLOOKUP(A26,'[1]20_CCTV_360'!B:N,13,0)</f>
        <v>33.333333333333336</v>
      </c>
      <c r="V26" s="11">
        <f>VLOOKUP(A26,'[1]21_NEWS360AI'!B:E,4,0)</f>
        <v>0</v>
      </c>
    </row>
    <row r="27" spans="1:22" s="13" customFormat="1" ht="23.55" customHeight="1">
      <c r="A27" s="9" t="s">
        <v>47</v>
      </c>
      <c r="B27" s="10" t="str">
        <f>VLOOKUP(A27,'[1]1_MEDLEAPR_PME'!B:H,6,0)</f>
        <v>100.00</v>
      </c>
      <c r="C27" s="10" t="str">
        <f>VLOOKUP(A27,'[1]2_MEDLEAPR_MLC'!B:I,6,0)</f>
        <v>100.00</v>
      </c>
      <c r="D27" s="11">
        <f>VLOOKUP(A27,'[1]3_NATGRID'!B:H,6,0)</f>
        <v>0</v>
      </c>
      <c r="E27" s="11">
        <f>VLOOKUP(A27,'[1]4_DGP_DASH'!B:E,3,0)</f>
        <v>100</v>
      </c>
      <c r="F27" s="10">
        <f>VLOOKUP(A27,'[1]5_CCTNS_TILL'!B:P,14,0)</f>
        <v>75.002963697563786</v>
      </c>
      <c r="G27" s="10">
        <f>VLOOKUP(A27,'[1]6_CCTNS_1_7'!B:P,14,0)</f>
        <v>81.818181818181827</v>
      </c>
      <c r="H27" s="11">
        <f>VLOOKUP(A27,'[1]7_CCTNS_8_15'!B:M,11,0)</f>
        <v>0</v>
      </c>
      <c r="I27" s="12">
        <f>VLOOKUP(A27,'[1]8_ZERO_FIRS'!B:H,6,0)</f>
        <v>100</v>
      </c>
      <c r="J27" s="10">
        <f>VLOOKUP(A27,'[1]9_CITIZEN_PORTAL'!B:H,6,0)</f>
        <v>100</v>
      </c>
      <c r="K27" s="10">
        <f>VLOOKUP(A27,'[1]10_ESAKSHYA'!B:L,10,0)</f>
        <v>76.258992805755398</v>
      </c>
      <c r="L27" s="12">
        <f>VLOOKUP(A27,'[1]11_CRIMAC'!B:G,5,0)</f>
        <v>100</v>
      </c>
      <c r="M27" s="10">
        <f>VLOOKUP(A27,'[1]12_CEIR'!B:M,10,0)</f>
        <v>19.17808219178082</v>
      </c>
      <c r="N27" s="12">
        <f>VLOOKUP(A27,'[1]13_EPROSEC'!B:E,3,0)</f>
        <v>0</v>
      </c>
      <c r="O27" s="10">
        <f>VLOOKUP(A27,'[1]14_FIR_CS_COURT'!B:L,11,0)</f>
        <v>0</v>
      </c>
      <c r="P27" s="10">
        <f>VLOOKUP(A27,'[1]15_EOFFICE'!C:P,12,0)</f>
        <v>50</v>
      </c>
      <c r="Q27" s="10">
        <f>VLOOKUP(A27,'[1]16_APOLIS'!B:K,10,0)</f>
        <v>28.125</v>
      </c>
      <c r="R27" s="10">
        <f>VLOOKUP(A27,'[1]17_DRONE_FLYING'!B:G,5,0)</f>
        <v>83.15</v>
      </c>
      <c r="S27" s="10">
        <f>VLOOKUP(A27,'[1]17_DRONE_FLYING'!B:G,5,0)</f>
        <v>83.15</v>
      </c>
      <c r="T27" s="10">
        <f>VLOOKUP(A27,'[1]19_DIAL100_RES'!B:H,6,0)</f>
        <v>81.574803149606296</v>
      </c>
      <c r="U27" s="10">
        <f>VLOOKUP(A27,'[1]20_CCTV_360'!B:N,13,0)</f>
        <v>38.46153846153846</v>
      </c>
      <c r="V27" s="11">
        <f>VLOOKUP(A27,'[1]21_NEWS360AI'!B:E,4,0)</f>
        <v>0</v>
      </c>
    </row>
    <row r="28" spans="1:22" s="13" customFormat="1" ht="23.55" customHeight="1">
      <c r="A28" s="9" t="s">
        <v>48</v>
      </c>
      <c r="B28" s="10">
        <f>VLOOKUP(A28,'[1]1_MEDLEAPR_PME'!B:H,6,0)</f>
        <v>100</v>
      </c>
      <c r="C28" s="10" t="str">
        <f>VLOOKUP(A28,'[1]2_MEDLEAPR_MLC'!B:I,6,0)</f>
        <v>100.00</v>
      </c>
      <c r="D28" s="11">
        <f>VLOOKUP(A28,'[1]3_NATGRID'!B:H,6,0)</f>
        <v>0</v>
      </c>
      <c r="E28" s="11">
        <f>VLOOKUP(A28,'[1]4_DGP_DASH'!B:E,3,0)</f>
        <v>100</v>
      </c>
      <c r="F28" s="10">
        <f>VLOOKUP(A28,'[1]5_CCTNS_TILL'!B:P,14,0)</f>
        <v>79.650730110144792</v>
      </c>
      <c r="G28" s="10">
        <f>VLOOKUP(A28,'[1]6_CCTNS_1_7'!B:P,14,0)</f>
        <v>50</v>
      </c>
      <c r="H28" s="11">
        <f>VLOOKUP(A28,'[1]7_CCTNS_8_15'!B:M,11,0)</f>
        <v>0</v>
      </c>
      <c r="I28" s="12">
        <f>VLOOKUP(A28,'[1]8_ZERO_FIRS'!B:H,6,0)</f>
        <v>100</v>
      </c>
      <c r="J28" s="10">
        <f>VLOOKUP(A28,'[1]9_CITIZEN_PORTAL'!B:H,6,0)</f>
        <v>100</v>
      </c>
      <c r="K28" s="10">
        <f>VLOOKUP(A28,'[1]10_ESAKSHYA'!B:L,10,0)</f>
        <v>83.756345177664969</v>
      </c>
      <c r="L28" s="12">
        <f>VLOOKUP(A28,'[1]11_CRIMAC'!B:G,5,0)</f>
        <v>100</v>
      </c>
      <c r="M28" s="10">
        <f>VLOOKUP(A28,'[1]12_CEIR'!B:M,10,0)</f>
        <v>6.8493150684931505</v>
      </c>
      <c r="N28" s="12">
        <f>VLOOKUP(A28,'[1]13_EPROSEC'!B:E,3,0)</f>
        <v>0</v>
      </c>
      <c r="O28" s="10">
        <f>VLOOKUP(A28,'[1]14_FIR_CS_COURT'!B:L,11,0)</f>
        <v>30.555555555555557</v>
      </c>
      <c r="P28" s="10">
        <f>VLOOKUP(A28,'[1]15_EOFFICE'!C:P,12,0)</f>
        <v>74.48</v>
      </c>
      <c r="Q28" s="10">
        <f>VLOOKUP(A28,'[1]16_APOLIS'!B:K,10,0)</f>
        <v>26.744186046511629</v>
      </c>
      <c r="R28" s="10" t="str">
        <f>VLOOKUP(A28,'[1]17_DRONE_FLYING'!B:G,5,0)</f>
        <v>50</v>
      </c>
      <c r="S28" s="10" t="str">
        <f>VLOOKUP(A28,'[1]17_DRONE_FLYING'!B:G,5,0)</f>
        <v>50</v>
      </c>
      <c r="T28" s="10">
        <f>VLOOKUP(A28,'[1]19_DIAL100_RES'!B:H,6,0)</f>
        <v>84.881889763779526</v>
      </c>
      <c r="U28" s="10">
        <f>VLOOKUP(A28,'[1]20_CCTV_360'!B:N,13,0)</f>
        <v>33.333333333333336</v>
      </c>
      <c r="V28" s="11">
        <f>VLOOKUP(A28,'[1]21_NEWS360AI'!B:E,4,0)</f>
        <v>0</v>
      </c>
    </row>
    <row r="29" spans="1:22" s="13" customFormat="1" ht="23.55" customHeight="1">
      <c r="A29" s="9" t="s">
        <v>49</v>
      </c>
      <c r="B29" s="10">
        <f>VLOOKUP(A29,'[1]1_MEDLEAPR_PME'!B:H,6,0)</f>
        <v>100</v>
      </c>
      <c r="C29" s="10" t="str">
        <f>VLOOKUP(A29,'[1]2_MEDLEAPR_MLC'!B:I,6,0)</f>
        <v>100.00</v>
      </c>
      <c r="D29" s="11">
        <f>VLOOKUP(A29,'[1]3_NATGRID'!B:H,6,0)</f>
        <v>0</v>
      </c>
      <c r="E29" s="11">
        <f>VLOOKUP(A29,'[1]4_DGP_DASH'!B:E,3,0)</f>
        <v>100</v>
      </c>
      <c r="F29" s="10">
        <f>VLOOKUP(A29,'[1]5_CCTNS_TILL'!B:P,14,0)</f>
        <v>76.459098452079772</v>
      </c>
      <c r="G29" s="10">
        <f>VLOOKUP(A29,'[1]6_CCTNS_1_7'!B:P,14,0)</f>
        <v>4.5454545454545459</v>
      </c>
      <c r="H29" s="11">
        <f>VLOOKUP(A29,'[1]7_CCTNS_8_15'!B:M,11,0)</f>
        <v>0</v>
      </c>
      <c r="I29" s="12">
        <f>VLOOKUP(A29,'[1]8_ZERO_FIRS'!B:H,6,0)</f>
        <v>100</v>
      </c>
      <c r="J29" s="10">
        <f>VLOOKUP(A29,'[1]9_CITIZEN_PORTAL'!B:H,6,0)</f>
        <v>100</v>
      </c>
      <c r="K29" s="10">
        <f>VLOOKUP(A29,'[1]10_ESAKSHYA'!B:L,10,0)</f>
        <v>99.572649572649567</v>
      </c>
      <c r="L29" s="12">
        <f>VLOOKUP(A29,'[1]11_CRIMAC'!B:G,5,0)</f>
        <v>100</v>
      </c>
      <c r="M29" s="10">
        <f>VLOOKUP(A29,'[1]12_CEIR'!B:M,10,0)</f>
        <v>4.1095890410958908</v>
      </c>
      <c r="N29" s="12">
        <f>VLOOKUP(A29,'[1]13_EPROSEC'!B:E,3,0)</f>
        <v>0</v>
      </c>
      <c r="O29" s="10">
        <f>VLOOKUP(A29,'[1]14_FIR_CS_COURT'!B:L,11,0)</f>
        <v>28.082191780821919</v>
      </c>
      <c r="P29" s="10">
        <f>VLOOKUP(A29,'[1]15_EOFFICE'!C:P,12,0)</f>
        <v>87.96</v>
      </c>
      <c r="Q29" s="10">
        <f>VLOOKUP(A29,'[1]16_APOLIS'!B:K,10,0)</f>
        <v>26.595744680851062</v>
      </c>
      <c r="R29" s="10">
        <f>VLOOKUP(A29,'[1]17_DRONE_FLYING'!B:G,5,0)</f>
        <v>6.74</v>
      </c>
      <c r="S29" s="10">
        <f>VLOOKUP(A29,'[1]17_DRONE_FLYING'!B:G,5,0)</f>
        <v>6.74</v>
      </c>
      <c r="T29" s="10">
        <f>VLOOKUP(A29,'[1]19_DIAL100_RES'!B:H,6,0)</f>
        <v>83.307086614173215</v>
      </c>
      <c r="U29" s="10">
        <f>VLOOKUP(A29,'[1]20_CCTV_360'!B:N,13,0)</f>
        <v>0</v>
      </c>
      <c r="V29" s="11">
        <f>VLOOKUP(A29,'[1]21_NEWS360AI'!B:E,4,0)</f>
        <v>0</v>
      </c>
    </row>
    <row r="30" spans="1:22" s="13" customFormat="1" ht="23.55" customHeight="1">
      <c r="A30" s="14" t="s">
        <v>50</v>
      </c>
      <c r="B30" s="10">
        <f>VLOOKUP(A30,'[1]1_MEDLEAPR_PME'!B:H,6,0)</f>
        <v>100</v>
      </c>
      <c r="C30" s="10" t="str">
        <f>VLOOKUP(A30,'[1]2_MEDLEAPR_MLC'!B:I,6,0)</f>
        <v>100.00</v>
      </c>
      <c r="D30" s="11">
        <f>VLOOKUP(A30,'[1]3_NATGRID'!B:H,6,0)</f>
        <v>0</v>
      </c>
      <c r="E30" s="11">
        <f>VLOOKUP(A30,'[1]4_DGP_DASH'!B:E,3,0)</f>
        <v>100</v>
      </c>
      <c r="F30" s="10">
        <f>VLOOKUP(A30,'[1]5_CCTNS_TILL'!B:P,14,0)</f>
        <v>77.590788713143041</v>
      </c>
      <c r="G30" s="10">
        <f>VLOOKUP(A30,'[1]6_CCTNS_1_7'!B:P,14,0)</f>
        <v>100</v>
      </c>
      <c r="H30" s="11">
        <f>VLOOKUP(A30,'[1]7_CCTNS_8_15'!B:M,11,0)</f>
        <v>0</v>
      </c>
      <c r="I30" s="12">
        <f>VLOOKUP(A30,'[1]8_ZERO_FIRS'!B:H,6,0)</f>
        <v>100</v>
      </c>
      <c r="J30" s="10">
        <f>VLOOKUP(A30,'[1]9_CITIZEN_PORTAL'!B:H,6,0)</f>
        <v>100</v>
      </c>
      <c r="K30" s="10">
        <f>VLOOKUP(A30,'[1]10_ESAKSHYA'!B:L,10,0)</f>
        <v>29.838709677419356</v>
      </c>
      <c r="L30" s="12">
        <f>VLOOKUP(A30,'[1]11_CRIMAC'!B:G,5,0)</f>
        <v>100</v>
      </c>
      <c r="M30" s="10">
        <f>VLOOKUP(A30,'[1]12_CEIR'!B:M,10,0)</f>
        <v>100</v>
      </c>
      <c r="N30" s="12">
        <f>VLOOKUP(A30,'[1]13_EPROSEC'!B:E,3,0)</f>
        <v>0</v>
      </c>
      <c r="O30" s="10">
        <f>VLOOKUP(A30,'[1]14_FIR_CS_COURT'!B:L,11,0)</f>
        <v>32.74647887323944</v>
      </c>
      <c r="P30" s="10">
        <f>VLOOKUP(A30,'[1]15_EOFFICE'!C:P,12,0)</f>
        <v>88.7</v>
      </c>
      <c r="Q30" s="10">
        <f>VLOOKUP(A30,'[1]16_APOLIS'!B:K,10,0)</f>
        <v>25.833333333333332</v>
      </c>
      <c r="R30" s="10" t="str">
        <f>VLOOKUP(A30,'[1]17_DRONE_FLYING'!B:G,5,0)</f>
        <v>50</v>
      </c>
      <c r="S30" s="10" t="str">
        <f>VLOOKUP(A30,'[1]17_DRONE_FLYING'!B:G,5,0)</f>
        <v>50</v>
      </c>
      <c r="T30" s="10">
        <f>VLOOKUP(A30,'[1]19_DIAL100_RES'!B:H,6,0)</f>
        <v>77.375328083989501</v>
      </c>
      <c r="U30" s="10">
        <f>VLOOKUP(A30,'[1]20_CCTV_360'!B:N,13,0)</f>
        <v>33.333333333333336</v>
      </c>
      <c r="V30" s="11">
        <f>VLOOKUP(A30,'[1]21_NEWS360AI'!B:E,4,0)</f>
        <v>0</v>
      </c>
    </row>
    <row r="31" spans="1:22" s="13" customFormat="1" ht="23.55" customHeight="1">
      <c r="A31" s="9" t="s">
        <v>51</v>
      </c>
      <c r="B31" s="10" t="str">
        <f>VLOOKUP(A31,'[1]1_MEDLEAPR_PME'!B:H,6,0)</f>
        <v>100.00</v>
      </c>
      <c r="C31" s="10">
        <f>VLOOKUP(A31,'[1]2_MEDLEAPR_MLC'!B:I,6,0)</f>
        <v>100</v>
      </c>
      <c r="D31" s="11">
        <f>VLOOKUP(A31,'[1]3_NATGRID'!B:H,6,0)</f>
        <v>0</v>
      </c>
      <c r="E31" s="11">
        <f>VLOOKUP(A31,'[1]4_DGP_DASH'!B:E,3,0)</f>
        <v>100</v>
      </c>
      <c r="F31" s="10">
        <f>VLOOKUP(A31,'[1]5_CCTNS_TILL'!B:P,14,0)</f>
        <v>81.051532683214461</v>
      </c>
      <c r="G31" s="10">
        <f>VLOOKUP(A31,'[1]6_CCTNS_1_7'!B:P,14,0)</f>
        <v>50</v>
      </c>
      <c r="H31" s="11">
        <f>VLOOKUP(A31,'[1]7_CCTNS_8_15'!B:M,11,0)</f>
        <v>0</v>
      </c>
      <c r="I31" s="12">
        <f>VLOOKUP(A31,'[1]8_ZERO_FIRS'!B:H,6,0)</f>
        <v>100</v>
      </c>
      <c r="J31" s="10">
        <f>VLOOKUP(A31,'[1]9_CITIZEN_PORTAL'!B:H,6,0)</f>
        <v>100</v>
      </c>
      <c r="K31" s="10">
        <f>VLOOKUP(A31,'[1]10_ESAKSHYA'!B:L,10,0)</f>
        <v>99.563318777292579</v>
      </c>
      <c r="L31" s="12">
        <f>VLOOKUP(A31,'[1]11_CRIMAC'!B:G,5,0)</f>
        <v>100</v>
      </c>
      <c r="M31" s="10">
        <f>VLOOKUP(A31,'[1]12_CEIR'!B:M,10,0)</f>
        <v>2.7397260273972601</v>
      </c>
      <c r="N31" s="12">
        <f>VLOOKUP(A31,'[1]13_EPROSEC'!B:E,3,0)</f>
        <v>0</v>
      </c>
      <c r="O31" s="10">
        <f>VLOOKUP(A31,'[1]14_FIR_CS_COURT'!B:L,11,0)</f>
        <v>17.832167832167833</v>
      </c>
      <c r="P31" s="10">
        <f>VLOOKUP(A31,'[1]15_EOFFICE'!C:P,12,0)</f>
        <v>97.64</v>
      </c>
      <c r="Q31" s="10">
        <f>VLOOKUP(A31,'[1]16_APOLIS'!B:K,10,0)</f>
        <v>23.684210526315788</v>
      </c>
      <c r="R31" s="10" t="str">
        <f>VLOOKUP(A31,'[1]17_DRONE_FLYING'!B:G,5,0)</f>
        <v>50</v>
      </c>
      <c r="S31" s="10" t="str">
        <f>VLOOKUP(A31,'[1]17_DRONE_FLYING'!B:G,5,0)</f>
        <v>50</v>
      </c>
      <c r="T31" s="10">
        <f>VLOOKUP(A31,'[1]19_DIAL100_RES'!B:H,6,0)</f>
        <v>82.729658792650923</v>
      </c>
      <c r="U31" s="10">
        <f>VLOOKUP(A31,'[1]20_CCTV_360'!B:N,13,0)</f>
        <v>66.666666666666671</v>
      </c>
      <c r="V31" s="11">
        <f>VLOOKUP(A31,'[1]21_NEWS360AI'!B:E,4,0)</f>
        <v>0</v>
      </c>
    </row>
    <row r="32" spans="1:22" s="13" customFormat="1" ht="23.55" customHeight="1">
      <c r="A32" s="9" t="s">
        <v>52</v>
      </c>
      <c r="B32" s="10" t="str">
        <f>VLOOKUP(A32,'[1]1_MEDLEAPR_PME'!B:H,6,0)</f>
        <v>100.00</v>
      </c>
      <c r="C32" s="10" t="str">
        <f>VLOOKUP(A32,'[1]2_MEDLEAPR_MLC'!B:I,6,0)</f>
        <v>100.00</v>
      </c>
      <c r="D32" s="11">
        <f>VLOOKUP(A32,'[1]3_NATGRID'!B:H,6,0)</f>
        <v>0</v>
      </c>
      <c r="E32" s="11">
        <f>VLOOKUP(A32,'[1]4_DGP_DASH'!B:E,3,0)</f>
        <v>100</v>
      </c>
      <c r="F32" s="10">
        <f>VLOOKUP(A32,'[1]5_CCTNS_TILL'!B:P,14,0)</f>
        <v>100</v>
      </c>
      <c r="G32" s="10">
        <f>VLOOKUP(A32,'[1]6_CCTNS_1_7'!B:P,14,0)</f>
        <v>50</v>
      </c>
      <c r="H32" s="11">
        <f>VLOOKUP(A32,'[1]7_CCTNS_8_15'!B:M,11,0)</f>
        <v>0</v>
      </c>
      <c r="I32" s="12">
        <f>VLOOKUP(A32,'[1]8_ZERO_FIRS'!B:H,6,0)</f>
        <v>100</v>
      </c>
      <c r="J32" s="10">
        <f>VLOOKUP(A32,'[1]9_CITIZEN_PORTAL'!B:H,6,0)</f>
        <v>100</v>
      </c>
      <c r="K32" s="10">
        <f>VLOOKUP(A32,'[1]10_ESAKSHYA'!B:L,10,0)</f>
        <v>10.784313725490197</v>
      </c>
      <c r="L32" s="12">
        <f>VLOOKUP(A32,'[1]11_CRIMAC'!B:G,5,0)</f>
        <v>100</v>
      </c>
      <c r="M32" s="10">
        <f>VLOOKUP(A32,'[1]12_CEIR'!B:M,10,0)</f>
        <v>0</v>
      </c>
      <c r="N32" s="12">
        <f>VLOOKUP(A32,'[1]13_EPROSEC'!B:E,3,0)</f>
        <v>0</v>
      </c>
      <c r="O32" s="10">
        <f>VLOOKUP(A32,'[1]14_FIR_CS_COURT'!B:L,11,0)</f>
        <v>43.814432989690722</v>
      </c>
      <c r="P32" s="10">
        <f>VLOOKUP(A32,'[1]15_EOFFICE'!C:P,12,0)</f>
        <v>33.92</v>
      </c>
      <c r="Q32" s="10">
        <f>VLOOKUP(A32,'[1]16_APOLIS'!B:K,10,0)</f>
        <v>22.826086956521738</v>
      </c>
      <c r="R32" s="10" t="str">
        <f>VLOOKUP(A32,'[1]17_DRONE_FLYING'!B:G,5,0)</f>
        <v>50</v>
      </c>
      <c r="S32" s="10" t="str">
        <f>VLOOKUP(A32,'[1]17_DRONE_FLYING'!B:G,5,0)</f>
        <v>50</v>
      </c>
      <c r="T32" s="10">
        <f>VLOOKUP(A32,'[1]19_DIAL100_RES'!B:H,6,0)</f>
        <v>50</v>
      </c>
      <c r="U32" s="10">
        <f>VLOOKUP(A32,'[1]20_CCTV_360'!B:N,13,0)</f>
        <v>0</v>
      </c>
      <c r="V32" s="11">
        <f>VLOOKUP(A32,'[1]21_NEWS360AI'!B:E,4,0)</f>
        <v>0</v>
      </c>
    </row>
    <row r="33" spans="1:22" s="13" customFormat="1" ht="23.55" customHeight="1">
      <c r="A33" s="9" t="s">
        <v>53</v>
      </c>
      <c r="B33" s="10" t="str">
        <f>VLOOKUP(A33,'[1]1_MEDLEAPR_PME'!B:H,6,0)</f>
        <v>100.00</v>
      </c>
      <c r="C33" s="10" t="str">
        <f>VLOOKUP(A33,'[1]2_MEDLEAPR_MLC'!B:I,6,0)</f>
        <v>100.00</v>
      </c>
      <c r="D33" s="11">
        <f>VLOOKUP(A33,'[1]3_NATGRID'!B:H,6,0)</f>
        <v>0</v>
      </c>
      <c r="E33" s="11">
        <f>VLOOKUP(A33,'[1]4_DGP_DASH'!B:E,3,0)</f>
        <v>100</v>
      </c>
      <c r="F33" s="10">
        <f>VLOOKUP(A33,'[1]5_CCTNS_TILL'!B:P,14,0)</f>
        <v>87.913080130619477</v>
      </c>
      <c r="G33" s="10">
        <f>VLOOKUP(A33,'[1]6_CCTNS_1_7'!B:P,14,0)</f>
        <v>50</v>
      </c>
      <c r="H33" s="11">
        <f>VLOOKUP(A33,'[1]7_CCTNS_8_15'!B:M,11,0)</f>
        <v>0</v>
      </c>
      <c r="I33" s="12">
        <f>VLOOKUP(A33,'[1]8_ZERO_FIRS'!B:H,6,0)</f>
        <v>100</v>
      </c>
      <c r="J33" s="10">
        <f>VLOOKUP(A33,'[1]9_CITIZEN_PORTAL'!B:H,6,0)</f>
        <v>100</v>
      </c>
      <c r="K33" s="10">
        <f>VLOOKUP(A33,'[1]10_ESAKSHYA'!B:L,10,0)</f>
        <v>100</v>
      </c>
      <c r="L33" s="12">
        <f>VLOOKUP(A33,'[1]11_CRIMAC'!B:G,5,0)</f>
        <v>100</v>
      </c>
      <c r="M33" s="10">
        <f>VLOOKUP(A33,'[1]12_CEIR'!B:M,10,0)</f>
        <v>5.4794520547945202</v>
      </c>
      <c r="N33" s="12">
        <f>VLOOKUP(A33,'[1]13_EPROSEC'!B:E,3,0)</f>
        <v>0</v>
      </c>
      <c r="O33" s="10">
        <f>VLOOKUP(A33,'[1]14_FIR_CS_COURT'!B:L,11,0)</f>
        <v>25</v>
      </c>
      <c r="P33" s="10">
        <f>VLOOKUP(A33,'[1]15_EOFFICE'!C:P,12,0)</f>
        <v>100</v>
      </c>
      <c r="Q33" s="10">
        <f>VLOOKUP(A33,'[1]16_APOLIS'!B:K,10,0)</f>
        <v>19.565217391304348</v>
      </c>
      <c r="R33" s="10" t="str">
        <f>VLOOKUP(A33,'[1]17_DRONE_FLYING'!B:G,5,0)</f>
        <v>50</v>
      </c>
      <c r="S33" s="10" t="str">
        <f>VLOOKUP(A33,'[1]17_DRONE_FLYING'!B:G,5,0)</f>
        <v>50</v>
      </c>
      <c r="T33" s="10">
        <f>VLOOKUP(A33,'[1]19_DIAL100_RES'!B:H,6,0)</f>
        <v>75.69553805774278</v>
      </c>
      <c r="U33" s="10">
        <f>VLOOKUP(A33,'[1]20_CCTV_360'!B:N,13,0)</f>
        <v>33.333333333333336</v>
      </c>
      <c r="V33" s="11">
        <f>VLOOKUP(A33,'[1]21_NEWS360AI'!B:E,4,0)</f>
        <v>0</v>
      </c>
    </row>
    <row r="34" spans="1:22" s="13" customFormat="1" ht="23.55" customHeight="1">
      <c r="A34" s="9" t="s">
        <v>54</v>
      </c>
      <c r="B34" s="10" t="str">
        <f>VLOOKUP(A34,'[1]1_MEDLEAPR_PME'!B:H,6,0)</f>
        <v>100.00</v>
      </c>
      <c r="C34" s="10">
        <f>VLOOKUP(A34,'[1]2_MEDLEAPR_MLC'!B:I,6,0)</f>
        <v>100</v>
      </c>
      <c r="D34" s="11">
        <f>VLOOKUP(A34,'[1]3_NATGRID'!B:H,6,0)</f>
        <v>0</v>
      </c>
      <c r="E34" s="11">
        <f>VLOOKUP(A34,'[1]4_DGP_DASH'!B:E,3,0)</f>
        <v>100</v>
      </c>
      <c r="F34" s="10">
        <f>VLOOKUP(A34,'[1]5_CCTNS_TILL'!B:P,14,0)</f>
        <v>87.090916510242394</v>
      </c>
      <c r="G34" s="10">
        <f>VLOOKUP(A34,'[1]6_CCTNS_1_7'!B:P,14,0)</f>
        <v>27.27272727272727</v>
      </c>
      <c r="H34" s="11">
        <f>VLOOKUP(A34,'[1]7_CCTNS_8_15'!B:M,11,0)</f>
        <v>0</v>
      </c>
      <c r="I34" s="12">
        <f>VLOOKUP(A34,'[1]8_ZERO_FIRS'!B:H,6,0)</f>
        <v>100</v>
      </c>
      <c r="J34" s="10">
        <f>VLOOKUP(A34,'[1]9_CITIZEN_PORTAL'!B:H,6,0)</f>
        <v>100</v>
      </c>
      <c r="K34" s="10">
        <f>VLOOKUP(A34,'[1]10_ESAKSHYA'!B:L,10,0)</f>
        <v>95.04132231404958</v>
      </c>
      <c r="L34" s="12">
        <f>VLOOKUP(A34,'[1]11_CRIMAC'!B:G,5,0)</f>
        <v>100</v>
      </c>
      <c r="M34" s="10">
        <f>VLOOKUP(A34,'[1]12_CEIR'!B:M,10,0)</f>
        <v>64.38356164383562</v>
      </c>
      <c r="N34" s="12">
        <f>VLOOKUP(A34,'[1]13_EPROSEC'!B:E,3,0)</f>
        <v>0</v>
      </c>
      <c r="O34" s="10">
        <f>VLOOKUP(A34,'[1]14_FIR_CS_COURT'!B:L,11,0)</f>
        <v>31.666666666666668</v>
      </c>
      <c r="P34" s="10">
        <f>VLOOKUP(A34,'[1]15_EOFFICE'!C:P,12,0)</f>
        <v>69.94</v>
      </c>
      <c r="Q34" s="10">
        <f>VLOOKUP(A34,'[1]16_APOLIS'!B:K,10,0)</f>
        <v>17.346938775510203</v>
      </c>
      <c r="R34" s="10" t="str">
        <f>VLOOKUP(A34,'[1]17_DRONE_FLYING'!B:G,5,0)</f>
        <v>50</v>
      </c>
      <c r="S34" s="10" t="str">
        <f>VLOOKUP(A34,'[1]17_DRONE_FLYING'!B:G,5,0)</f>
        <v>50</v>
      </c>
      <c r="T34" s="10">
        <f>VLOOKUP(A34,'[1]19_DIAL100_RES'!B:H,6,0)</f>
        <v>73.963254593175861</v>
      </c>
      <c r="U34" s="10">
        <f>VLOOKUP(A34,'[1]20_CCTV_360'!B:N,13,0)</f>
        <v>0</v>
      </c>
      <c r="V34" s="11">
        <f>VLOOKUP(A34,'[1]21_NEWS360AI'!B:E,4,0)</f>
        <v>0</v>
      </c>
    </row>
    <row r="35" spans="1:22" s="13" customFormat="1" ht="23.55" customHeight="1">
      <c r="A35" s="9" t="s">
        <v>55</v>
      </c>
      <c r="B35" s="10" t="str">
        <f>VLOOKUP(A35,'[1]1_MEDLEAPR_PME'!B:H,6,0)</f>
        <v>100.00</v>
      </c>
      <c r="C35" s="10" t="str">
        <f>VLOOKUP(A35,'[1]2_MEDLEAPR_MLC'!B:I,6,0)</f>
        <v>100.00</v>
      </c>
      <c r="D35" s="11">
        <f>VLOOKUP(A35,'[1]3_NATGRID'!B:H,6,0)</f>
        <v>0</v>
      </c>
      <c r="E35" s="11">
        <f>VLOOKUP(A35,'[1]4_DGP_DASH'!B:E,3,0)</f>
        <v>100</v>
      </c>
      <c r="F35" s="10">
        <f>VLOOKUP(A35,'[1]5_CCTNS_TILL'!B:P,14,0)</f>
        <v>79.212421114695772</v>
      </c>
      <c r="G35" s="10">
        <f>VLOOKUP(A35,'[1]6_CCTNS_1_7'!B:P,14,0)</f>
        <v>50</v>
      </c>
      <c r="H35" s="11">
        <f>VLOOKUP(A35,'[1]7_CCTNS_8_15'!B:M,11,0)</f>
        <v>0</v>
      </c>
      <c r="I35" s="12">
        <f>VLOOKUP(A35,'[1]8_ZERO_FIRS'!B:H,6,0)</f>
        <v>100</v>
      </c>
      <c r="J35" s="10">
        <f>VLOOKUP(A35,'[1]9_CITIZEN_PORTAL'!B:H,6,0)</f>
        <v>100</v>
      </c>
      <c r="K35" s="10">
        <f>VLOOKUP(A35,'[1]10_ESAKSHYA'!B:L,10,0)</f>
        <v>59.793814432989691</v>
      </c>
      <c r="L35" s="12">
        <f>VLOOKUP(A35,'[1]11_CRIMAC'!B:G,5,0)</f>
        <v>100</v>
      </c>
      <c r="M35" s="10">
        <f>VLOOKUP(A35,'[1]12_CEIR'!B:M,10,0)</f>
        <v>8.2191780821917817</v>
      </c>
      <c r="N35" s="12">
        <f>VLOOKUP(A35,'[1]13_EPROSEC'!B:E,3,0)</f>
        <v>0</v>
      </c>
      <c r="O35" s="10">
        <f>VLOOKUP(A35,'[1]14_FIR_CS_COURT'!B:L,11,0)</f>
        <v>0</v>
      </c>
      <c r="P35" s="10">
        <f>VLOOKUP(A35,'[1]15_EOFFICE'!C:P,12,0)</f>
        <v>92.26</v>
      </c>
      <c r="Q35" s="10">
        <f>VLOOKUP(A35,'[1]16_APOLIS'!B:K,10,0)</f>
        <v>16.666666666666668</v>
      </c>
      <c r="R35" s="10" t="str">
        <f>VLOOKUP(A35,'[1]17_DRONE_FLYING'!B:G,5,0)</f>
        <v>50</v>
      </c>
      <c r="S35" s="10" t="str">
        <f>VLOOKUP(A35,'[1]17_DRONE_FLYING'!B:G,5,0)</f>
        <v>50</v>
      </c>
      <c r="T35" s="10">
        <f>VLOOKUP(A35,'[1]19_DIAL100_RES'!B:H,6,0)</f>
        <v>95.748031496062993</v>
      </c>
      <c r="U35" s="10">
        <f>VLOOKUP(A35,'[1]20_CCTV_360'!B:N,13,0)</f>
        <v>33.333333333333336</v>
      </c>
      <c r="V35" s="11">
        <f>VLOOKUP(A35,'[1]21_NEWS360AI'!B:E,4,0)</f>
        <v>0</v>
      </c>
    </row>
    <row r="36" spans="1:22" s="13" customFormat="1" ht="23.55" customHeight="1">
      <c r="A36" s="9" t="s">
        <v>56</v>
      </c>
      <c r="B36" s="10">
        <f>VLOOKUP(A36,'[1]1_MEDLEAPR_PME'!B:H,6,0)</f>
        <v>50</v>
      </c>
      <c r="C36" s="10">
        <f>VLOOKUP(A36,'[1]2_MEDLEAPR_MLC'!B:I,6,0)</f>
        <v>100</v>
      </c>
      <c r="D36" s="11">
        <f>VLOOKUP(A36,'[1]3_NATGRID'!B:H,6,0)</f>
        <v>0</v>
      </c>
      <c r="E36" s="11">
        <f>VLOOKUP(A36,'[1]4_DGP_DASH'!B:E,3,0)</f>
        <v>100</v>
      </c>
      <c r="F36" s="10">
        <f>VLOOKUP(A36,'[1]5_CCTNS_TILL'!B:P,14,0)</f>
        <v>73.578658580825902</v>
      </c>
      <c r="G36" s="10">
        <f>VLOOKUP(A36,'[1]6_CCTNS_1_7'!B:P,14,0)</f>
        <v>32.467532467532465</v>
      </c>
      <c r="H36" s="11">
        <f>VLOOKUP(A36,'[1]7_CCTNS_8_15'!B:M,11,0)</f>
        <v>0</v>
      </c>
      <c r="I36" s="12">
        <f>VLOOKUP(A36,'[1]8_ZERO_FIRS'!B:H,6,0)</f>
        <v>100</v>
      </c>
      <c r="J36" s="10">
        <f>VLOOKUP(A36,'[1]9_CITIZEN_PORTAL'!B:H,6,0)</f>
        <v>100</v>
      </c>
      <c r="K36" s="10">
        <f>VLOOKUP(A36,'[1]10_ESAKSHYA'!B:L,10,0)</f>
        <v>44.794188861985475</v>
      </c>
      <c r="L36" s="12">
        <f>VLOOKUP(A36,'[1]11_CRIMAC'!B:G,5,0)</f>
        <v>100</v>
      </c>
      <c r="M36" s="10">
        <f>VLOOKUP(A36,'[1]12_CEIR'!B:M,10,0)</f>
        <v>5.4794520547945202</v>
      </c>
      <c r="N36" s="12">
        <f>VLOOKUP(A36,'[1]13_EPROSEC'!B:E,3,0)</f>
        <v>0</v>
      </c>
      <c r="O36" s="10">
        <f>VLOOKUP(A36,'[1]14_FIR_CS_COURT'!B:L,11,0)</f>
        <v>26.612903225806452</v>
      </c>
      <c r="P36" s="10">
        <f>VLOOKUP(A36,'[1]15_EOFFICE'!C:P,12,0)</f>
        <v>63.03</v>
      </c>
      <c r="Q36" s="10">
        <f>VLOOKUP(A36,'[1]16_APOLIS'!B:K,10,0)</f>
        <v>13.157894736842106</v>
      </c>
      <c r="R36" s="10">
        <f>VLOOKUP(A36,'[1]17_DRONE_FLYING'!B:G,5,0)</f>
        <v>77.53</v>
      </c>
      <c r="S36" s="10">
        <f>VLOOKUP(A36,'[1]17_DRONE_FLYING'!B:G,5,0)</f>
        <v>77.53</v>
      </c>
      <c r="T36" s="10">
        <f>VLOOKUP(A36,'[1]19_DIAL100_RES'!B:H,6,0)</f>
        <v>63.884514435695536</v>
      </c>
      <c r="U36" s="10">
        <f>VLOOKUP(A36,'[1]20_CCTV_360'!B:N,13,0)</f>
        <v>35.897435897435898</v>
      </c>
      <c r="V36" s="11">
        <f>VLOOKUP(A36,'[1]21_NEWS360AI'!B:E,4,0)</f>
        <v>0</v>
      </c>
    </row>
  </sheetData>
  <pageMargins left="0.70866141732283472" right="0.70866141732283472" top="0.74803149606299213" bottom="0.74803149606299213" header="0.31496062992125984" footer="0.31496062992125984"/>
  <pageSetup paperSize="5" scale="94" fitToHeight="0" orientation="landscape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Sheet1!Print_Titles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kola bapuji</dc:creator>
  <cp:lastModifiedBy>kola bapuji</cp:lastModifiedBy>
  <dcterms:created xsi:type="dcterms:W3CDTF">2026-06-07T14:54:37Z</dcterms:created>
  <dcterms:modified xsi:type="dcterms:W3CDTF">2026-06-07T14:55:00Z</dcterms:modified>
</cp:coreProperties>
</file>