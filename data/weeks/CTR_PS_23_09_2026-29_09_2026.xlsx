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193DA230-3AA6-4FAB-BAF7-547FB461638B}" xr6:coauthVersionLast="47" xr6:coauthVersionMax="47" xr10:uidLastSave="{00000000-0000-0000-0000-000000000000}"/>
  <bookViews>
    <workbookView xWindow="-108" yWindow="-108" windowWidth="23256" windowHeight="12456" xr2:uid="{8E74FF0A-0375-4143-9E08-CF3F1E8D82A6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Sheet1!$A$2:$Y$36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<sst xmlns="http://schemas.openxmlformats.org/spreadsheetml/2006/main" count="60" uniqueCount="60">
  <si>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</si>
  <si>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</si>
  <si>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</si>
  <si>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</si>
  <si>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</si>
  <si>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</si>
  <si>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</si>
  <si>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</si>
  <si>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</si>
  <si>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</si>
  <si>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</si>
  <si>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</si>
  <si>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</si>
  <si>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</si>
  <si>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</si>
  <si>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</si>
  <si>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</si>
  <si>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</si>
  <si>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</si>
  <si>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</si>
  <si>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</si>
  <si>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</si>
  <si>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eFSL</t>
  </si>
  <si>
    <t>UC3</t>
  </si>
  <si>
    <t>UC4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</si>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</sst>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textRotation="90"/>
    </xf>
    <xf numFmtId="2" fontId="3" fillId="3" borderId="1" xfId="0" applyNumberFormat="1" applyFont="1" applyFill="1" applyBorder="1" applyAlignment="1">
      <alignment horizontal="center" textRotation="90" wrapText="1"/>
    </xf>
    <xf numFmtId="0" fontId="4" fillId="4" borderId="1" xfId="0" applyFont="1" applyFill="1" applyBorder="1" applyAlignment="1">
      <alignment horizontal="left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lak\OneDrive\Desktop\123\SMART_POLICE_RAW_DATA.xlsx" TargetMode="External"/><Relationship Id="rId1" Type="http://schemas.openxmlformats.org/officeDocument/2006/relationships/externalLinkPath" Target="file:///C:\Users\kolak\OneDrive\Desktop\123\SMART_POLICE_RAW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RIMAC"/>
      <sheetName val="12_CEIR"/>
      <sheetName val="13_EPROSEC"/>
      <sheetName val="14_FIR_CS_COURT"/>
      <sheetName val="15_EOFFICE"/>
      <sheetName val="16_APOLIS"/>
      <sheetName val="17_DRONE_FLYING"/>
      <sheetName val="18_112_TABS"/>
      <sheetName val="19_DIAL100_RES"/>
      <sheetName val="20_CCTV_360"/>
      <sheetName val="21_NEWS360AI"/>
      <sheetName val="24_ITSSO"/>
      <sheetName val="26_ESUMMONS"/>
      <sheetName val="27_EFSL"/>
      <sheetName val="28_UC3"/>
      <sheetName val="29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Baireddypalle</v>
          </cell>
          <cell r="C3">
            <v>4</v>
          </cell>
          <cell r="D3">
            <v>0</v>
          </cell>
          <cell r="E3">
            <v>0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Bangarupalem UPS</v>
          </cell>
          <cell r="C4">
            <v>5</v>
          </cell>
          <cell r="D4">
            <v>0</v>
          </cell>
          <cell r="E4">
            <v>0</v>
          </cell>
          <cell r="F4" t="str">
            <v>100.00</v>
          </cell>
          <cell r="G4" t="str">
            <v>100.00</v>
          </cell>
          <cell r="H4">
            <v>2.5</v>
          </cell>
        </row>
        <row r="5">
          <cell r="B5" t="str">
            <v>CCS Chittoor UPS</v>
          </cell>
          <cell r="C5">
            <v>0</v>
          </cell>
          <cell r="D5">
            <v>0</v>
          </cell>
          <cell r="E5">
            <v>0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Chittoor I Town UPS</v>
          </cell>
          <cell r="C6">
            <v>3</v>
          </cell>
          <cell r="D6">
            <v>0</v>
          </cell>
          <cell r="E6">
            <v>0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Chittoor II Town UPS</v>
          </cell>
          <cell r="C7">
            <v>2</v>
          </cell>
          <cell r="D7">
            <v>0</v>
          </cell>
          <cell r="E7">
            <v>0</v>
          </cell>
          <cell r="F7" t="str">
            <v>100.00</v>
          </cell>
          <cell r="G7" t="str">
            <v>100.00</v>
          </cell>
          <cell r="H7">
            <v>2.5</v>
          </cell>
        </row>
        <row r="8">
          <cell r="B8" t="str">
            <v>Chittoor Taluk PS</v>
          </cell>
          <cell r="C8">
            <v>2</v>
          </cell>
          <cell r="D8">
            <v>0</v>
          </cell>
          <cell r="E8">
            <v>0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Chittoor Traffic UPS</v>
          </cell>
          <cell r="C9">
            <v>2</v>
          </cell>
          <cell r="D9">
            <v>1</v>
          </cell>
          <cell r="E9">
            <v>1</v>
          </cell>
          <cell r="F9">
            <v>100</v>
          </cell>
          <cell r="G9">
            <v>100</v>
          </cell>
          <cell r="H9">
            <v>2.5</v>
          </cell>
        </row>
        <row r="10">
          <cell r="B10" t="str">
            <v>G.D.Nellore UPS</v>
          </cell>
          <cell r="C10">
            <v>2</v>
          </cell>
          <cell r="D10">
            <v>1</v>
          </cell>
          <cell r="E10">
            <v>1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Gangavaram UPS</v>
          </cell>
          <cell r="C11">
            <v>2</v>
          </cell>
          <cell r="D11">
            <v>0</v>
          </cell>
          <cell r="E11">
            <v>0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Gudipala</v>
          </cell>
          <cell r="C12">
            <v>1</v>
          </cell>
          <cell r="D12">
            <v>0</v>
          </cell>
          <cell r="E12">
            <v>0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Gudipalli</v>
          </cell>
          <cell r="C13">
            <v>0</v>
          </cell>
          <cell r="D13">
            <v>0</v>
          </cell>
          <cell r="E13">
            <v>0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Irala</v>
          </cell>
          <cell r="C14">
            <v>2</v>
          </cell>
          <cell r="D14">
            <v>0</v>
          </cell>
          <cell r="E14">
            <v>0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K. Nagar</v>
          </cell>
          <cell r="C15">
            <v>2</v>
          </cell>
          <cell r="D15">
            <v>0</v>
          </cell>
          <cell r="E15">
            <v>0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Kallur</v>
          </cell>
          <cell r="C16">
            <v>2</v>
          </cell>
          <cell r="D16">
            <v>0</v>
          </cell>
          <cell r="E16">
            <v>0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Kanipakam</v>
          </cell>
          <cell r="C17">
            <v>0</v>
          </cell>
          <cell r="D17">
            <v>0</v>
          </cell>
          <cell r="E17">
            <v>0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Kuppam UPS</v>
          </cell>
          <cell r="C18">
            <v>5</v>
          </cell>
          <cell r="D18">
            <v>0</v>
          </cell>
          <cell r="E18">
            <v>0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Mahila UPS, Chittoor</v>
          </cell>
          <cell r="C19">
            <v>2</v>
          </cell>
          <cell r="D19">
            <v>0</v>
          </cell>
          <cell r="E19">
            <v>0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Nagari UPS</v>
          </cell>
          <cell r="C20">
            <v>1</v>
          </cell>
          <cell r="D20">
            <v>0</v>
          </cell>
          <cell r="E20">
            <v>0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Narsingarayanipet(N.R.Pet)</v>
          </cell>
          <cell r="C21">
            <v>1</v>
          </cell>
          <cell r="D21">
            <v>0</v>
          </cell>
          <cell r="E21">
            <v>0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Nindra</v>
          </cell>
          <cell r="C22">
            <v>2</v>
          </cell>
          <cell r="D22">
            <v>0</v>
          </cell>
          <cell r="E22">
            <v>0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Palamaner UPS</v>
          </cell>
          <cell r="C23">
            <v>2</v>
          </cell>
          <cell r="D23">
            <v>1</v>
          </cell>
          <cell r="E23">
            <v>1</v>
          </cell>
          <cell r="F23">
            <v>100</v>
          </cell>
          <cell r="G23">
            <v>100</v>
          </cell>
          <cell r="H23">
            <v>2.5</v>
          </cell>
        </row>
        <row r="24">
          <cell r="B24" t="str">
            <v>Palasamudram</v>
          </cell>
          <cell r="C24">
            <v>0</v>
          </cell>
          <cell r="D24">
            <v>0</v>
          </cell>
          <cell r="E24">
            <v>0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Panjani</v>
          </cell>
          <cell r="C25">
            <v>6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Penumur</v>
          </cell>
          <cell r="C26">
            <v>2</v>
          </cell>
          <cell r="D26">
            <v>0</v>
          </cell>
          <cell r="E26">
            <v>0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Puthalapattu UPS</v>
          </cell>
          <cell r="C27">
            <v>1</v>
          </cell>
          <cell r="D27">
            <v>0</v>
          </cell>
          <cell r="E27">
            <v>0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Rallabudugur</v>
          </cell>
          <cell r="C28">
            <v>3</v>
          </cell>
          <cell r="D28">
            <v>1</v>
          </cell>
          <cell r="E28">
            <v>1</v>
          </cell>
          <cell r="F28">
            <v>100</v>
          </cell>
          <cell r="G28">
            <v>100</v>
          </cell>
          <cell r="H28">
            <v>2.5</v>
          </cell>
        </row>
        <row r="29">
          <cell r="B29" t="str">
            <v>Ramakuppam</v>
          </cell>
          <cell r="C29">
            <v>0</v>
          </cell>
          <cell r="D29">
            <v>0</v>
          </cell>
          <cell r="E29">
            <v>0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Rompicherla</v>
          </cell>
          <cell r="C30">
            <v>2</v>
          </cell>
          <cell r="D30">
            <v>0</v>
          </cell>
          <cell r="E30">
            <v>0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S.R.Puram</v>
          </cell>
          <cell r="C31">
            <v>3</v>
          </cell>
          <cell r="D31">
            <v>0</v>
          </cell>
          <cell r="E31">
            <v>0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Thavanampalle</v>
          </cell>
          <cell r="C32">
            <v>2</v>
          </cell>
          <cell r="D32">
            <v>0</v>
          </cell>
          <cell r="E32">
            <v>0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V.Kota UPS</v>
          </cell>
          <cell r="C33">
            <v>8</v>
          </cell>
          <cell r="D33">
            <v>0</v>
          </cell>
          <cell r="E33">
            <v>0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Vedurukuppam</v>
          </cell>
          <cell r="C34">
            <v>0</v>
          </cell>
          <cell r="D34">
            <v>0</v>
          </cell>
          <cell r="E34">
            <v>0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Vijayapuram</v>
          </cell>
          <cell r="C35">
            <v>1</v>
          </cell>
          <cell r="D35">
            <v>0</v>
          </cell>
          <cell r="E35">
            <v>0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B36" t="str">
            <v>Yadamari</v>
          </cell>
          <cell r="C36">
            <v>3</v>
          </cell>
          <cell r="D36">
            <v>5</v>
          </cell>
          <cell r="E36">
            <v>5</v>
          </cell>
          <cell r="F36">
            <v>100</v>
          </cell>
          <cell r="G36">
            <v>100</v>
          </cell>
          <cell r="H36">
            <v>2.5</v>
          </cell>
        </row>
        <row r="37">
          <cell r="C37">
            <v>73</v>
          </cell>
          <cell r="D37">
            <v>10</v>
          </cell>
          <cell r="E37">
            <v>10</v>
          </cell>
          <cell r="F37">
            <v>100</v>
          </cell>
          <cell r="G37">
            <v>100</v>
          </cell>
          <cell r="H37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Baireddypalle</v>
          </cell>
          <cell r="C3">
            <v>4</v>
          </cell>
          <cell r="D3">
            <v>0</v>
          </cell>
          <cell r="E3">
            <v>0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Bangarupalem UPS</v>
          </cell>
          <cell r="C4">
            <v>5</v>
          </cell>
          <cell r="D4">
            <v>0</v>
          </cell>
          <cell r="E4">
            <v>0</v>
          </cell>
          <cell r="F4" t="str">
            <v>100.00</v>
          </cell>
          <cell r="G4" t="str">
            <v>100.00</v>
          </cell>
          <cell r="H4">
            <v>2.5</v>
          </cell>
        </row>
        <row r="5">
          <cell r="B5" t="str">
            <v>CCS Chittoor UPS</v>
          </cell>
          <cell r="C5">
            <v>0</v>
          </cell>
          <cell r="D5">
            <v>0</v>
          </cell>
          <cell r="E5">
            <v>0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Chittoor I Town UPS</v>
          </cell>
          <cell r="C6">
            <v>3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Chittoor II Town UPS</v>
          </cell>
          <cell r="C7">
            <v>2</v>
          </cell>
          <cell r="D7">
            <v>1</v>
          </cell>
          <cell r="E7">
            <v>1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Chittoor Taluk PS</v>
          </cell>
          <cell r="C8">
            <v>2</v>
          </cell>
          <cell r="D8">
            <v>1</v>
          </cell>
          <cell r="E8">
            <v>1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Chittoor Traffic UPS</v>
          </cell>
          <cell r="C9">
            <v>2</v>
          </cell>
          <cell r="D9">
            <v>1</v>
          </cell>
          <cell r="E9">
            <v>1</v>
          </cell>
          <cell r="F9">
            <v>100</v>
          </cell>
          <cell r="G9">
            <v>100</v>
          </cell>
          <cell r="H9">
            <v>2.5</v>
          </cell>
        </row>
        <row r="10">
          <cell r="B10" t="str">
            <v>G.D.Nellore UPS</v>
          </cell>
          <cell r="C10">
            <v>2</v>
          </cell>
          <cell r="D10">
            <v>0</v>
          </cell>
          <cell r="E10">
            <v>0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Gangavaram UPS</v>
          </cell>
          <cell r="C11">
            <v>2</v>
          </cell>
          <cell r="D11">
            <v>0</v>
          </cell>
          <cell r="E11">
            <v>0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Gudipala</v>
          </cell>
          <cell r="C12">
            <v>1</v>
          </cell>
          <cell r="D12">
            <v>0</v>
          </cell>
          <cell r="E12">
            <v>0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Gudipalli</v>
          </cell>
          <cell r="C13">
            <v>0</v>
          </cell>
          <cell r="D13">
            <v>0</v>
          </cell>
          <cell r="E13">
            <v>0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Irala</v>
          </cell>
          <cell r="C14">
            <v>2</v>
          </cell>
          <cell r="D14">
            <v>0</v>
          </cell>
          <cell r="E14">
            <v>0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K. Nagar</v>
          </cell>
          <cell r="C15">
            <v>2</v>
          </cell>
          <cell r="D15">
            <v>0</v>
          </cell>
          <cell r="E15">
            <v>0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Kallur</v>
          </cell>
          <cell r="C16">
            <v>2</v>
          </cell>
          <cell r="D16">
            <v>0</v>
          </cell>
          <cell r="E16">
            <v>0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Kanipakam</v>
          </cell>
          <cell r="C17">
            <v>0</v>
          </cell>
          <cell r="D17">
            <v>0</v>
          </cell>
          <cell r="E17">
            <v>0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Kuppam UPS</v>
          </cell>
          <cell r="C18">
            <v>5</v>
          </cell>
          <cell r="D18">
            <v>4</v>
          </cell>
          <cell r="E18">
            <v>4</v>
          </cell>
          <cell r="F18">
            <v>100</v>
          </cell>
          <cell r="G18">
            <v>100</v>
          </cell>
          <cell r="H18">
            <v>2.5</v>
          </cell>
        </row>
        <row r="19">
          <cell r="B19" t="str">
            <v>Mahila UPS, Chittoor</v>
          </cell>
          <cell r="C19">
            <v>2</v>
          </cell>
          <cell r="D19">
            <v>0</v>
          </cell>
          <cell r="E19">
            <v>0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Nagari UPS</v>
          </cell>
          <cell r="C20">
            <v>1</v>
          </cell>
          <cell r="D20">
            <v>0</v>
          </cell>
          <cell r="E20">
            <v>0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Narsingarayanipet(N.R.Pet)</v>
          </cell>
          <cell r="C21">
            <v>1</v>
          </cell>
          <cell r="D21">
            <v>0</v>
          </cell>
          <cell r="E21">
            <v>0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Nindra</v>
          </cell>
          <cell r="C22">
            <v>2</v>
          </cell>
          <cell r="D22">
            <v>2</v>
          </cell>
          <cell r="E22">
            <v>2</v>
          </cell>
          <cell r="F22">
            <v>100</v>
          </cell>
          <cell r="G22">
            <v>100</v>
          </cell>
          <cell r="H22">
            <v>2.5</v>
          </cell>
        </row>
        <row r="23">
          <cell r="B23" t="str">
            <v>Palamaner UPS</v>
          </cell>
          <cell r="C23">
            <v>2</v>
          </cell>
          <cell r="D23">
            <v>0</v>
          </cell>
          <cell r="E23">
            <v>0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Palasamudram</v>
          </cell>
          <cell r="C24">
            <v>0</v>
          </cell>
          <cell r="D24">
            <v>0</v>
          </cell>
          <cell r="E24">
            <v>0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Panjani</v>
          </cell>
          <cell r="C25">
            <v>6</v>
          </cell>
          <cell r="D25">
            <v>0</v>
          </cell>
          <cell r="E25">
            <v>0</v>
          </cell>
          <cell r="F25" t="str">
            <v>100.00</v>
          </cell>
          <cell r="G25" t="str">
            <v>100.00</v>
          </cell>
          <cell r="H25">
            <v>2.5</v>
          </cell>
        </row>
        <row r="26">
          <cell r="B26" t="str">
            <v>Penumur</v>
          </cell>
          <cell r="C26">
            <v>2</v>
          </cell>
          <cell r="D26">
            <v>1</v>
          </cell>
          <cell r="E26">
            <v>1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Puthalapattu UPS</v>
          </cell>
          <cell r="C27">
            <v>1</v>
          </cell>
          <cell r="D27">
            <v>0</v>
          </cell>
          <cell r="E27">
            <v>0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Rallabudugur</v>
          </cell>
          <cell r="C28">
            <v>3</v>
          </cell>
          <cell r="D28">
            <v>1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Ramakuppam</v>
          </cell>
          <cell r="C29">
            <v>0</v>
          </cell>
          <cell r="D29">
            <v>0</v>
          </cell>
          <cell r="E29">
            <v>0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Rompicherla</v>
          </cell>
          <cell r="C30">
            <v>2</v>
          </cell>
          <cell r="D30">
            <v>1</v>
          </cell>
          <cell r="E30">
            <v>1</v>
          </cell>
          <cell r="F30">
            <v>100</v>
          </cell>
          <cell r="G30">
            <v>100</v>
          </cell>
          <cell r="H30">
            <v>2.5</v>
          </cell>
        </row>
        <row r="31">
          <cell r="B31" t="str">
            <v>S.R.Puram</v>
          </cell>
          <cell r="C31">
            <v>3</v>
          </cell>
          <cell r="D31">
            <v>2</v>
          </cell>
          <cell r="E31">
            <v>2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Thavanampalle</v>
          </cell>
          <cell r="C32">
            <v>2</v>
          </cell>
          <cell r="D32">
            <v>3</v>
          </cell>
          <cell r="E32">
            <v>3</v>
          </cell>
          <cell r="F32">
            <v>100</v>
          </cell>
          <cell r="G32">
            <v>100</v>
          </cell>
          <cell r="H32">
            <v>2.5</v>
          </cell>
        </row>
        <row r="33">
          <cell r="B33" t="str">
            <v>V.Kota UPS</v>
          </cell>
          <cell r="C33">
            <v>8</v>
          </cell>
          <cell r="D33">
            <v>0</v>
          </cell>
          <cell r="E33">
            <v>0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Vedurukuppam</v>
          </cell>
          <cell r="C34">
            <v>0</v>
          </cell>
          <cell r="D34">
            <v>0</v>
          </cell>
          <cell r="E34">
            <v>0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Vijayapuram</v>
          </cell>
          <cell r="C35">
            <v>1</v>
          </cell>
          <cell r="D35">
            <v>0</v>
          </cell>
          <cell r="E35">
            <v>0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B36" t="str">
            <v>Yadamari</v>
          </cell>
          <cell r="C36">
            <v>3</v>
          </cell>
          <cell r="D36">
            <v>0</v>
          </cell>
          <cell r="E36">
            <v>0</v>
          </cell>
          <cell r="F36" t="str">
            <v>100.00</v>
          </cell>
          <cell r="G36" t="str">
            <v>100.00</v>
          </cell>
          <cell r="H36">
            <v>2.5</v>
          </cell>
        </row>
        <row r="37">
          <cell r="C37">
            <v>73</v>
          </cell>
          <cell r="D37">
            <v>18</v>
          </cell>
          <cell r="E37">
            <v>17</v>
          </cell>
          <cell r="F37">
            <v>90.909090909090907</v>
          </cell>
          <cell r="G37">
            <v>90.909090909090907</v>
          </cell>
          <cell r="H37">
            <v>2.4264705882352939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V.Kota UPS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Kuppam UPS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Palamaner UPS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Bangarupalem UPS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Chittoor Taluk PS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Gangavaram UPS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Puthalapattu UPS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Rallabudugur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Panjani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Baireddypalle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Vedurukuppam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Nagari UPS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S.R.Puram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G.D.Nellore UPS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Thavanampalle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Chittoor Traffic UPS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Penumur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Chittoor II Town UPS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Gudipalli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Irala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Gudipala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K. Nagar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Yadamari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Kallur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Chittoor I Town UPS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Kanipakam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Rompicherla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Vijayapuram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Ramakuppam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Nindra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Narsingarayanipet(N.R.Pet)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Palasamudram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Mahila UPS, Chittoor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 t="str">
            <v>CCS Chittoor UPS</v>
          </cell>
          <cell r="C36" t="str">
            <v>NA</v>
          </cell>
          <cell r="D36" t="str">
            <v>NA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Baireddypalle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Bangarupalem UPS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CCS Chittoor UPS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Chittoor I Town UPS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Chittoor II Town UPS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Chittoor Taluk PS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Chittoor Traffic UPS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G.D.Nellore UPS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Gangavaram UPS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Gudipala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Gudipalli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Irala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K. Nagar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Kallur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Kanipakam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Kuppam UPS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Mahila UPS, Chittoor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Nagari UPS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Narsingarayanipet(N.R.Pet)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Nindra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Palamaner UPS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Palasamudram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Panjani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Penumur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Puthalapattu UPS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Rallabudugur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Ramakuppam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Rompicherla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S.R.Puram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Thavanampalle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V.Kota UPS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Vedurukuppam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Vijayapuram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B36" t="str">
            <v>Yadamari</v>
          </cell>
          <cell r="C36" t="str">
            <v>Submitted</v>
          </cell>
          <cell r="D36">
            <v>100</v>
          </cell>
          <cell r="E36">
            <v>2.5</v>
          </cell>
        </row>
        <row r="37">
          <cell r="D37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History Sheets</v>
          </cell>
          <cell r="M2" t="str">
            <v>41 Crpc</v>
          </cell>
          <cell r="N2" t="str">
            <v>Forms per FIR</v>
          </cell>
          <cell r="O2" t="str">
            <v>Raw Value</v>
          </cell>
          <cell r="P2" t="str">
            <v>MARKS</v>
          </cell>
        </row>
        <row r="3">
          <cell r="B3" t="str">
            <v>CCS Chittoor UPS</v>
          </cell>
          <cell r="C3">
            <v>356</v>
          </cell>
          <cell r="D3">
            <v>309</v>
          </cell>
          <cell r="E3">
            <v>1205</v>
          </cell>
          <cell r="F3">
            <v>931</v>
          </cell>
          <cell r="G3">
            <v>6458</v>
          </cell>
          <cell r="H3">
            <v>3071</v>
          </cell>
          <cell r="I3">
            <v>1197</v>
          </cell>
          <cell r="J3">
            <v>635</v>
          </cell>
          <cell r="K3">
            <v>323</v>
          </cell>
          <cell r="L3">
            <v>220</v>
          </cell>
          <cell r="M3">
            <v>98</v>
          </cell>
          <cell r="N3">
            <v>40.581460674157306</v>
          </cell>
          <cell r="O3">
            <v>100</v>
          </cell>
          <cell r="P3">
            <v>2.5</v>
          </cell>
        </row>
        <row r="4">
          <cell r="B4" t="str">
            <v>Gudipala</v>
          </cell>
          <cell r="C4">
            <v>1751</v>
          </cell>
          <cell r="D4">
            <v>2257</v>
          </cell>
          <cell r="E4">
            <v>2201</v>
          </cell>
          <cell r="F4">
            <v>126</v>
          </cell>
          <cell r="G4">
            <v>12509</v>
          </cell>
          <cell r="H4">
            <v>13198</v>
          </cell>
          <cell r="I4">
            <v>1946</v>
          </cell>
          <cell r="J4">
            <v>623</v>
          </cell>
          <cell r="K4">
            <v>967</v>
          </cell>
          <cell r="L4">
            <v>122</v>
          </cell>
          <cell r="M4">
            <v>2239</v>
          </cell>
          <cell r="N4">
            <v>20.667047401484865</v>
          </cell>
          <cell r="O4">
            <v>100</v>
          </cell>
          <cell r="P4">
            <v>2.5</v>
          </cell>
        </row>
        <row r="5">
          <cell r="B5" t="str">
            <v>Chittoor Traffic UPS</v>
          </cell>
          <cell r="C5">
            <v>802</v>
          </cell>
          <cell r="D5">
            <v>859</v>
          </cell>
          <cell r="E5">
            <v>618</v>
          </cell>
          <cell r="F5">
            <v>0</v>
          </cell>
          <cell r="G5">
            <v>3225</v>
          </cell>
          <cell r="H5">
            <v>7878</v>
          </cell>
          <cell r="I5">
            <v>1330</v>
          </cell>
          <cell r="J5">
            <v>150</v>
          </cell>
          <cell r="K5">
            <v>891</v>
          </cell>
          <cell r="L5">
            <v>0</v>
          </cell>
          <cell r="M5">
            <v>937</v>
          </cell>
          <cell r="N5">
            <v>19.810473815461346</v>
          </cell>
          <cell r="O5">
            <v>100</v>
          </cell>
          <cell r="P5">
            <v>2.5</v>
          </cell>
        </row>
        <row r="6">
          <cell r="B6" t="str">
            <v>Penumur</v>
          </cell>
          <cell r="C6">
            <v>1556</v>
          </cell>
          <cell r="D6">
            <v>2132</v>
          </cell>
          <cell r="E6">
            <v>1687</v>
          </cell>
          <cell r="F6">
            <v>154</v>
          </cell>
          <cell r="G6">
            <v>7587</v>
          </cell>
          <cell r="H6">
            <v>12227</v>
          </cell>
          <cell r="I6">
            <v>1664</v>
          </cell>
          <cell r="J6">
            <v>508</v>
          </cell>
          <cell r="K6">
            <v>1008</v>
          </cell>
          <cell r="L6">
            <v>79</v>
          </cell>
          <cell r="M6">
            <v>3452</v>
          </cell>
          <cell r="N6">
            <v>19.600257069408741</v>
          </cell>
          <cell r="O6">
            <v>100</v>
          </cell>
          <cell r="P6">
            <v>2.5</v>
          </cell>
        </row>
        <row r="7">
          <cell r="B7" t="str">
            <v>Mahila UPS, Chittoor</v>
          </cell>
          <cell r="C7">
            <v>570</v>
          </cell>
          <cell r="D7">
            <v>751</v>
          </cell>
          <cell r="E7">
            <v>292</v>
          </cell>
          <cell r="F7">
            <v>1</v>
          </cell>
          <cell r="G7">
            <v>3106</v>
          </cell>
          <cell r="H7">
            <v>4356</v>
          </cell>
          <cell r="I7">
            <v>657</v>
          </cell>
          <cell r="J7">
            <v>49</v>
          </cell>
          <cell r="K7">
            <v>317</v>
          </cell>
          <cell r="L7">
            <v>0</v>
          </cell>
          <cell r="M7">
            <v>1592</v>
          </cell>
          <cell r="N7">
            <v>19.510526315789473</v>
          </cell>
          <cell r="O7">
            <v>100</v>
          </cell>
          <cell r="P7">
            <v>2.5</v>
          </cell>
        </row>
        <row r="8">
          <cell r="B8" t="str">
            <v>Kanipakam</v>
          </cell>
          <cell r="C8">
            <v>841</v>
          </cell>
          <cell r="D8">
            <v>1160</v>
          </cell>
          <cell r="E8">
            <v>846</v>
          </cell>
          <cell r="F8">
            <v>77</v>
          </cell>
          <cell r="G8">
            <v>4422</v>
          </cell>
          <cell r="H8">
            <v>6729</v>
          </cell>
          <cell r="I8">
            <v>907</v>
          </cell>
          <cell r="J8">
            <v>276</v>
          </cell>
          <cell r="K8">
            <v>585</v>
          </cell>
          <cell r="L8">
            <v>113</v>
          </cell>
          <cell r="M8">
            <v>1106</v>
          </cell>
          <cell r="N8">
            <v>19.287752675386443</v>
          </cell>
          <cell r="O8">
            <v>100</v>
          </cell>
          <cell r="P8">
            <v>2.5</v>
          </cell>
        </row>
        <row r="9">
          <cell r="B9" t="str">
            <v>Puthalapattu UPS</v>
          </cell>
          <cell r="C9">
            <v>1848</v>
          </cell>
          <cell r="D9">
            <v>2468</v>
          </cell>
          <cell r="E9">
            <v>1909</v>
          </cell>
          <cell r="F9">
            <v>237</v>
          </cell>
          <cell r="G9">
            <v>10656</v>
          </cell>
          <cell r="H9">
            <v>13708</v>
          </cell>
          <cell r="I9">
            <v>2102</v>
          </cell>
          <cell r="J9">
            <v>700</v>
          </cell>
          <cell r="K9">
            <v>1283</v>
          </cell>
          <cell r="L9">
            <v>96</v>
          </cell>
          <cell r="M9">
            <v>2426</v>
          </cell>
          <cell r="N9">
            <v>19.25595238095238</v>
          </cell>
          <cell r="O9">
            <v>100</v>
          </cell>
          <cell r="P9">
            <v>2.5</v>
          </cell>
        </row>
        <row r="10">
          <cell r="B10" t="str">
            <v>S.R.Puram</v>
          </cell>
          <cell r="C10">
            <v>1378</v>
          </cell>
          <cell r="D10">
            <v>1565</v>
          </cell>
          <cell r="E10">
            <v>1351</v>
          </cell>
          <cell r="F10">
            <v>108</v>
          </cell>
          <cell r="G10">
            <v>6199</v>
          </cell>
          <cell r="H10">
            <v>10546</v>
          </cell>
          <cell r="I10">
            <v>1419</v>
          </cell>
          <cell r="J10">
            <v>423</v>
          </cell>
          <cell r="K10">
            <v>994</v>
          </cell>
          <cell r="L10">
            <v>71</v>
          </cell>
          <cell r="M10">
            <v>1950</v>
          </cell>
          <cell r="N10">
            <v>17.870827285921624</v>
          </cell>
          <cell r="O10">
            <v>100</v>
          </cell>
          <cell r="P10">
            <v>2.5</v>
          </cell>
        </row>
        <row r="11">
          <cell r="B11" t="str">
            <v>Bangarupalem UPS</v>
          </cell>
          <cell r="C11">
            <v>2704</v>
          </cell>
          <cell r="D11">
            <v>3369</v>
          </cell>
          <cell r="E11">
            <v>2463</v>
          </cell>
          <cell r="F11">
            <v>203</v>
          </cell>
          <cell r="G11">
            <v>12452</v>
          </cell>
          <cell r="H11">
            <v>20043</v>
          </cell>
          <cell r="I11">
            <v>2888</v>
          </cell>
          <cell r="J11">
            <v>1038</v>
          </cell>
          <cell r="K11">
            <v>1766</v>
          </cell>
          <cell r="L11">
            <v>111</v>
          </cell>
          <cell r="M11">
            <v>3739</v>
          </cell>
          <cell r="N11">
            <v>17.778106508875741</v>
          </cell>
          <cell r="O11">
            <v>100</v>
          </cell>
          <cell r="P11">
            <v>2.5</v>
          </cell>
        </row>
        <row r="12">
          <cell r="B12" t="str">
            <v>Palamaner UPS</v>
          </cell>
          <cell r="C12">
            <v>3257</v>
          </cell>
          <cell r="D12">
            <v>4095</v>
          </cell>
          <cell r="E12">
            <v>3367</v>
          </cell>
          <cell r="F12">
            <v>497</v>
          </cell>
          <cell r="G12">
            <v>15361</v>
          </cell>
          <cell r="H12">
            <v>22920</v>
          </cell>
          <cell r="I12">
            <v>3686</v>
          </cell>
          <cell r="J12">
            <v>1306</v>
          </cell>
          <cell r="K12">
            <v>2008</v>
          </cell>
          <cell r="L12">
            <v>240</v>
          </cell>
          <cell r="M12">
            <v>4225</v>
          </cell>
          <cell r="N12">
            <v>17.717224439668406</v>
          </cell>
          <cell r="O12">
            <v>100</v>
          </cell>
          <cell r="P12">
            <v>2.5</v>
          </cell>
        </row>
        <row r="13">
          <cell r="B13" t="str">
            <v>Nagari UPS</v>
          </cell>
          <cell r="C13">
            <v>2798</v>
          </cell>
          <cell r="D13">
            <v>3282</v>
          </cell>
          <cell r="E13">
            <v>2972</v>
          </cell>
          <cell r="F13">
            <v>309</v>
          </cell>
          <cell r="G13">
            <v>14567</v>
          </cell>
          <cell r="H13">
            <v>19271</v>
          </cell>
          <cell r="I13">
            <v>2832</v>
          </cell>
          <cell r="J13">
            <v>949</v>
          </cell>
          <cell r="K13">
            <v>1782</v>
          </cell>
          <cell r="L13">
            <v>220</v>
          </cell>
          <cell r="M13">
            <v>2908</v>
          </cell>
          <cell r="N13">
            <v>17.545389563974268</v>
          </cell>
          <cell r="O13">
            <v>100</v>
          </cell>
          <cell r="P13">
            <v>2.5</v>
          </cell>
        </row>
        <row r="14">
          <cell r="B14" t="str">
            <v>Nindra</v>
          </cell>
          <cell r="C14">
            <v>809</v>
          </cell>
          <cell r="D14">
            <v>996</v>
          </cell>
          <cell r="E14">
            <v>809</v>
          </cell>
          <cell r="F14">
            <v>47</v>
          </cell>
          <cell r="G14">
            <v>4278</v>
          </cell>
          <cell r="H14">
            <v>5498</v>
          </cell>
          <cell r="I14">
            <v>747</v>
          </cell>
          <cell r="J14">
            <v>318</v>
          </cell>
          <cell r="K14">
            <v>486</v>
          </cell>
          <cell r="L14">
            <v>39</v>
          </cell>
          <cell r="M14">
            <v>913</v>
          </cell>
          <cell r="N14">
            <v>17.467243510506798</v>
          </cell>
          <cell r="O14">
            <v>100</v>
          </cell>
          <cell r="P14">
            <v>2.5</v>
          </cell>
        </row>
        <row r="15">
          <cell r="B15" t="str">
            <v>Thavanampalle</v>
          </cell>
          <cell r="C15">
            <v>1492</v>
          </cell>
          <cell r="D15">
            <v>1768</v>
          </cell>
          <cell r="E15">
            <v>1381</v>
          </cell>
          <cell r="F15">
            <v>110</v>
          </cell>
          <cell r="G15">
            <v>7846</v>
          </cell>
          <cell r="H15">
            <v>9711</v>
          </cell>
          <cell r="I15">
            <v>1536</v>
          </cell>
          <cell r="J15">
            <v>547</v>
          </cell>
          <cell r="K15">
            <v>810</v>
          </cell>
          <cell r="L15">
            <v>66</v>
          </cell>
          <cell r="M15">
            <v>2200</v>
          </cell>
          <cell r="N15">
            <v>17.40951742627346</v>
          </cell>
          <cell r="O15">
            <v>100</v>
          </cell>
          <cell r="P15">
            <v>2.5</v>
          </cell>
        </row>
        <row r="16">
          <cell r="B16" t="str">
            <v>G.D.Nellore UPS</v>
          </cell>
          <cell r="C16">
            <v>2163</v>
          </cell>
          <cell r="D16">
            <v>2687</v>
          </cell>
          <cell r="E16">
            <v>2074</v>
          </cell>
          <cell r="F16">
            <v>187</v>
          </cell>
          <cell r="G16">
            <v>9126</v>
          </cell>
          <cell r="H16">
            <v>15385</v>
          </cell>
          <cell r="I16">
            <v>2317</v>
          </cell>
          <cell r="J16">
            <v>730</v>
          </cell>
          <cell r="K16">
            <v>1220</v>
          </cell>
          <cell r="L16">
            <v>72</v>
          </cell>
          <cell r="M16">
            <v>3091</v>
          </cell>
          <cell r="N16">
            <v>17.054553860379102</v>
          </cell>
          <cell r="O16">
            <v>100</v>
          </cell>
          <cell r="P16">
            <v>2.5</v>
          </cell>
        </row>
        <row r="17">
          <cell r="B17" t="str">
            <v>Gudipalli</v>
          </cell>
          <cell r="C17">
            <v>1408</v>
          </cell>
          <cell r="D17">
            <v>1517</v>
          </cell>
          <cell r="E17">
            <v>751</v>
          </cell>
          <cell r="F17">
            <v>79</v>
          </cell>
          <cell r="G17">
            <v>9360</v>
          </cell>
          <cell r="H17">
            <v>8157</v>
          </cell>
          <cell r="I17">
            <v>1320</v>
          </cell>
          <cell r="J17">
            <v>425</v>
          </cell>
          <cell r="K17">
            <v>593</v>
          </cell>
          <cell r="L17">
            <v>93</v>
          </cell>
          <cell r="M17">
            <v>1694</v>
          </cell>
          <cell r="N17">
            <v>17.037642045454547</v>
          </cell>
          <cell r="O17">
            <v>100</v>
          </cell>
          <cell r="P17">
            <v>2.5</v>
          </cell>
        </row>
        <row r="18">
          <cell r="B18" t="str">
            <v>Baireddypalle</v>
          </cell>
          <cell r="C18">
            <v>1707</v>
          </cell>
          <cell r="D18">
            <v>1861</v>
          </cell>
          <cell r="E18">
            <v>1633</v>
          </cell>
          <cell r="F18">
            <v>185</v>
          </cell>
          <cell r="G18">
            <v>8980</v>
          </cell>
          <cell r="H18">
            <v>10610</v>
          </cell>
          <cell r="I18">
            <v>1680</v>
          </cell>
          <cell r="J18">
            <v>559</v>
          </cell>
          <cell r="K18">
            <v>783</v>
          </cell>
          <cell r="L18">
            <v>70</v>
          </cell>
          <cell r="M18">
            <v>2674</v>
          </cell>
          <cell r="N18">
            <v>17.009373169302872</v>
          </cell>
          <cell r="O18">
            <v>99.89</v>
          </cell>
          <cell r="P18">
            <v>2.4972500000000002</v>
          </cell>
        </row>
        <row r="19">
          <cell r="B19" t="str">
            <v>Irala</v>
          </cell>
          <cell r="C19">
            <v>1052</v>
          </cell>
          <cell r="D19">
            <v>1280</v>
          </cell>
          <cell r="E19">
            <v>1167</v>
          </cell>
          <cell r="F19">
            <v>66</v>
          </cell>
          <cell r="G19">
            <v>3936</v>
          </cell>
          <cell r="H19">
            <v>7277</v>
          </cell>
          <cell r="I19">
            <v>1167</v>
          </cell>
          <cell r="J19">
            <v>364</v>
          </cell>
          <cell r="K19">
            <v>650</v>
          </cell>
          <cell r="L19">
            <v>52</v>
          </cell>
          <cell r="M19">
            <v>1890</v>
          </cell>
          <cell r="N19">
            <v>16.966730038022813</v>
          </cell>
          <cell r="O19">
            <v>99.64</v>
          </cell>
          <cell r="P19">
            <v>2.4910000000000001</v>
          </cell>
        </row>
        <row r="20">
          <cell r="B20" t="str">
            <v>Kallur</v>
          </cell>
          <cell r="C20">
            <v>1203</v>
          </cell>
          <cell r="D20">
            <v>1426</v>
          </cell>
          <cell r="E20">
            <v>1418</v>
          </cell>
          <cell r="F20">
            <v>140</v>
          </cell>
          <cell r="G20">
            <v>4923</v>
          </cell>
          <cell r="H20">
            <v>8204</v>
          </cell>
          <cell r="I20">
            <v>1311</v>
          </cell>
          <cell r="J20">
            <v>361</v>
          </cell>
          <cell r="K20">
            <v>717</v>
          </cell>
          <cell r="L20">
            <v>42</v>
          </cell>
          <cell r="M20">
            <v>1742</v>
          </cell>
          <cell r="N20">
            <v>16.861180382377391</v>
          </cell>
          <cell r="O20">
            <v>99.02</v>
          </cell>
          <cell r="P20">
            <v>2.4755000000000003</v>
          </cell>
        </row>
        <row r="21">
          <cell r="B21" t="str">
            <v>Yadamari</v>
          </cell>
          <cell r="C21">
            <v>1801</v>
          </cell>
          <cell r="D21">
            <v>2173</v>
          </cell>
          <cell r="E21">
            <v>1881</v>
          </cell>
          <cell r="F21">
            <v>107</v>
          </cell>
          <cell r="G21">
            <v>8203</v>
          </cell>
          <cell r="H21">
            <v>11118</v>
          </cell>
          <cell r="I21">
            <v>2022</v>
          </cell>
          <cell r="J21">
            <v>626</v>
          </cell>
          <cell r="K21">
            <v>1059</v>
          </cell>
          <cell r="L21">
            <v>164</v>
          </cell>
          <cell r="M21">
            <v>3009</v>
          </cell>
          <cell r="N21">
            <v>16.858411993337036</v>
          </cell>
          <cell r="O21">
            <v>99.01</v>
          </cell>
          <cell r="P21">
            <v>2.4752500000000004</v>
          </cell>
        </row>
        <row r="22">
          <cell r="B22" t="str">
            <v>K. Nagar</v>
          </cell>
          <cell r="C22">
            <v>1358</v>
          </cell>
          <cell r="D22">
            <v>1609</v>
          </cell>
          <cell r="E22">
            <v>918</v>
          </cell>
          <cell r="F22">
            <v>60</v>
          </cell>
          <cell r="G22">
            <v>6334</v>
          </cell>
          <cell r="H22">
            <v>9459</v>
          </cell>
          <cell r="I22">
            <v>1330</v>
          </cell>
          <cell r="J22">
            <v>424</v>
          </cell>
          <cell r="K22">
            <v>760</v>
          </cell>
          <cell r="L22">
            <v>60</v>
          </cell>
          <cell r="M22">
            <v>1908</v>
          </cell>
          <cell r="N22">
            <v>16.835051546391753</v>
          </cell>
          <cell r="O22">
            <v>98.87</v>
          </cell>
          <cell r="P22">
            <v>2.4717500000000001</v>
          </cell>
        </row>
        <row r="23">
          <cell r="B23" t="str">
            <v>Chittoor Taluk PS</v>
          </cell>
          <cell r="C23">
            <v>1686</v>
          </cell>
          <cell r="D23">
            <v>1992</v>
          </cell>
          <cell r="E23">
            <v>1928</v>
          </cell>
          <cell r="F23">
            <v>107</v>
          </cell>
          <cell r="G23">
            <v>7787</v>
          </cell>
          <cell r="H23">
            <v>10936</v>
          </cell>
          <cell r="I23">
            <v>1802</v>
          </cell>
          <cell r="J23">
            <v>499</v>
          </cell>
          <cell r="K23">
            <v>1216</v>
          </cell>
          <cell r="L23">
            <v>94</v>
          </cell>
          <cell r="M23">
            <v>1742</v>
          </cell>
          <cell r="N23">
            <v>16.668446026097271</v>
          </cell>
          <cell r="O23">
            <v>97.89</v>
          </cell>
          <cell r="P23">
            <v>2.4472500000000004</v>
          </cell>
        </row>
        <row r="24">
          <cell r="B24" t="str">
            <v>Chittoor I Town UPS</v>
          </cell>
          <cell r="C24">
            <v>3131</v>
          </cell>
          <cell r="D24">
            <v>3822</v>
          </cell>
          <cell r="E24">
            <v>1817</v>
          </cell>
          <cell r="F24">
            <v>261</v>
          </cell>
          <cell r="G24">
            <v>16035</v>
          </cell>
          <cell r="H24">
            <v>20296</v>
          </cell>
          <cell r="I24">
            <v>2793</v>
          </cell>
          <cell r="J24">
            <v>1226</v>
          </cell>
          <cell r="K24">
            <v>1681</v>
          </cell>
          <cell r="L24">
            <v>130</v>
          </cell>
          <cell r="M24">
            <v>3693</v>
          </cell>
          <cell r="N24">
            <v>16.529543276908335</v>
          </cell>
          <cell r="O24">
            <v>97.07</v>
          </cell>
          <cell r="P24">
            <v>2.4267500000000002</v>
          </cell>
        </row>
        <row r="25">
          <cell r="B25" t="str">
            <v>Palasamudram</v>
          </cell>
          <cell r="C25">
            <v>1008</v>
          </cell>
          <cell r="D25">
            <v>1207</v>
          </cell>
          <cell r="E25">
            <v>1013</v>
          </cell>
          <cell r="F25">
            <v>101</v>
          </cell>
          <cell r="G25">
            <v>4320</v>
          </cell>
          <cell r="H25">
            <v>6674</v>
          </cell>
          <cell r="I25">
            <v>1063</v>
          </cell>
          <cell r="J25">
            <v>239</v>
          </cell>
          <cell r="K25">
            <v>589</v>
          </cell>
          <cell r="L25">
            <v>33</v>
          </cell>
          <cell r="M25">
            <v>1345</v>
          </cell>
          <cell r="N25">
            <v>16.452380952380953</v>
          </cell>
          <cell r="O25">
            <v>96.62</v>
          </cell>
          <cell r="P25">
            <v>2.4155000000000002</v>
          </cell>
        </row>
        <row r="26">
          <cell r="B26" t="str">
            <v>Chittoor II Town UPS</v>
          </cell>
          <cell r="C26">
            <v>2976</v>
          </cell>
          <cell r="D26">
            <v>3675</v>
          </cell>
          <cell r="E26">
            <v>2408</v>
          </cell>
          <cell r="F26">
            <v>235</v>
          </cell>
          <cell r="G26">
            <v>13034</v>
          </cell>
          <cell r="H26">
            <v>19721</v>
          </cell>
          <cell r="I26">
            <v>2559</v>
          </cell>
          <cell r="J26">
            <v>1260</v>
          </cell>
          <cell r="K26">
            <v>1611</v>
          </cell>
          <cell r="L26">
            <v>217</v>
          </cell>
          <cell r="M26">
            <v>3784</v>
          </cell>
          <cell r="N26">
            <v>16.298387096774192</v>
          </cell>
          <cell r="O26">
            <v>95.72</v>
          </cell>
          <cell r="P26">
            <v>2.3930000000000002</v>
          </cell>
        </row>
        <row r="27">
          <cell r="B27" t="str">
            <v>Panjani</v>
          </cell>
          <cell r="C27">
            <v>1768</v>
          </cell>
          <cell r="D27">
            <v>2149</v>
          </cell>
          <cell r="E27">
            <v>2080</v>
          </cell>
          <cell r="F27">
            <v>155</v>
          </cell>
          <cell r="G27">
            <v>6097</v>
          </cell>
          <cell r="H27">
            <v>12009</v>
          </cell>
          <cell r="I27">
            <v>1797</v>
          </cell>
          <cell r="J27">
            <v>651</v>
          </cell>
          <cell r="K27">
            <v>993</v>
          </cell>
          <cell r="L27">
            <v>98</v>
          </cell>
          <cell r="M27">
            <v>2733</v>
          </cell>
          <cell r="N27">
            <v>16.268099547511312</v>
          </cell>
          <cell r="O27">
            <v>95.54</v>
          </cell>
          <cell r="P27">
            <v>2.3885000000000001</v>
          </cell>
        </row>
        <row r="28">
          <cell r="B28" t="str">
            <v>Gangavaram UPS</v>
          </cell>
          <cell r="C28">
            <v>2542</v>
          </cell>
          <cell r="D28">
            <v>2990</v>
          </cell>
          <cell r="E28">
            <v>2031</v>
          </cell>
          <cell r="F28">
            <v>246</v>
          </cell>
          <cell r="G28">
            <v>11453</v>
          </cell>
          <cell r="H28">
            <v>16740</v>
          </cell>
          <cell r="I28">
            <v>2504</v>
          </cell>
          <cell r="J28">
            <v>998</v>
          </cell>
          <cell r="K28">
            <v>1055</v>
          </cell>
          <cell r="L28">
            <v>166</v>
          </cell>
          <cell r="M28">
            <v>2830</v>
          </cell>
          <cell r="N28">
            <v>16.134146341463413</v>
          </cell>
          <cell r="O28">
            <v>94.75</v>
          </cell>
          <cell r="P28">
            <v>2.3687499999999999</v>
          </cell>
        </row>
        <row r="29">
          <cell r="B29" t="str">
            <v>Narsingarayanipet(N.R.Pet)</v>
          </cell>
          <cell r="C29">
            <v>891</v>
          </cell>
          <cell r="D29">
            <v>1051</v>
          </cell>
          <cell r="E29">
            <v>574</v>
          </cell>
          <cell r="F29">
            <v>74</v>
          </cell>
          <cell r="G29">
            <v>3403</v>
          </cell>
          <cell r="H29">
            <v>6230</v>
          </cell>
          <cell r="I29">
            <v>900</v>
          </cell>
          <cell r="J29">
            <v>287</v>
          </cell>
          <cell r="K29">
            <v>521</v>
          </cell>
          <cell r="L29">
            <v>35</v>
          </cell>
          <cell r="M29">
            <v>1161</v>
          </cell>
          <cell r="N29">
            <v>15.977553310886645</v>
          </cell>
          <cell r="O29">
            <v>93.83</v>
          </cell>
          <cell r="P29">
            <v>2.3457500000000002</v>
          </cell>
        </row>
        <row r="30">
          <cell r="B30" t="str">
            <v>Ramakuppam</v>
          </cell>
          <cell r="C30">
            <v>1957</v>
          </cell>
          <cell r="D30">
            <v>2086</v>
          </cell>
          <cell r="E30">
            <v>1861</v>
          </cell>
          <cell r="F30">
            <v>103</v>
          </cell>
          <cell r="G30">
            <v>9174</v>
          </cell>
          <cell r="H30">
            <v>11011</v>
          </cell>
          <cell r="I30">
            <v>1770</v>
          </cell>
          <cell r="J30">
            <v>766</v>
          </cell>
          <cell r="K30">
            <v>816</v>
          </cell>
          <cell r="L30">
            <v>146</v>
          </cell>
          <cell r="M30">
            <v>2957</v>
          </cell>
          <cell r="N30">
            <v>15.682166581502299</v>
          </cell>
          <cell r="O30">
            <v>92.1</v>
          </cell>
          <cell r="P30">
            <v>2.3024999999999998</v>
          </cell>
        </row>
        <row r="31">
          <cell r="B31" t="str">
            <v>Rompicherla</v>
          </cell>
          <cell r="C31">
            <v>1479</v>
          </cell>
          <cell r="D31">
            <v>1606</v>
          </cell>
          <cell r="E31">
            <v>1256</v>
          </cell>
          <cell r="F31">
            <v>53</v>
          </cell>
          <cell r="G31">
            <v>6118</v>
          </cell>
          <cell r="H31">
            <v>8716</v>
          </cell>
          <cell r="I31">
            <v>1498</v>
          </cell>
          <cell r="J31">
            <v>306</v>
          </cell>
          <cell r="K31">
            <v>1149</v>
          </cell>
          <cell r="L31">
            <v>154</v>
          </cell>
          <cell r="M31">
            <v>2158</v>
          </cell>
          <cell r="N31">
            <v>15.5605138607167</v>
          </cell>
          <cell r="O31">
            <v>91.38</v>
          </cell>
          <cell r="P31">
            <v>2.2845</v>
          </cell>
        </row>
        <row r="32">
          <cell r="B32" t="str">
            <v>Vijayapuram</v>
          </cell>
          <cell r="C32">
            <v>931</v>
          </cell>
          <cell r="D32">
            <v>1110</v>
          </cell>
          <cell r="E32">
            <v>1084</v>
          </cell>
          <cell r="F32">
            <v>81</v>
          </cell>
          <cell r="G32">
            <v>4017</v>
          </cell>
          <cell r="H32">
            <v>5467</v>
          </cell>
          <cell r="I32">
            <v>867</v>
          </cell>
          <cell r="J32">
            <v>311</v>
          </cell>
          <cell r="K32">
            <v>532</v>
          </cell>
          <cell r="L32">
            <v>24</v>
          </cell>
          <cell r="M32">
            <v>862</v>
          </cell>
          <cell r="N32">
            <v>15.41890440386681</v>
          </cell>
          <cell r="O32">
            <v>90.55</v>
          </cell>
          <cell r="P32">
            <v>2.2637499999999999</v>
          </cell>
        </row>
        <row r="33">
          <cell r="B33" t="str">
            <v>V.Kota UPS</v>
          </cell>
          <cell r="C33">
            <v>2612</v>
          </cell>
          <cell r="D33">
            <v>2765</v>
          </cell>
          <cell r="E33">
            <v>1765</v>
          </cell>
          <cell r="F33">
            <v>145</v>
          </cell>
          <cell r="G33">
            <v>10571</v>
          </cell>
          <cell r="H33">
            <v>16635</v>
          </cell>
          <cell r="I33">
            <v>2505</v>
          </cell>
          <cell r="J33">
            <v>980</v>
          </cell>
          <cell r="K33">
            <v>903</v>
          </cell>
          <cell r="L33">
            <v>97</v>
          </cell>
          <cell r="M33">
            <v>3498</v>
          </cell>
          <cell r="N33">
            <v>15.261868300153139</v>
          </cell>
          <cell r="O33">
            <v>89.63</v>
          </cell>
          <cell r="P33">
            <v>2.2407499999999998</v>
          </cell>
        </row>
        <row r="34">
          <cell r="B34" t="str">
            <v>Rallabudugur</v>
          </cell>
          <cell r="C34">
            <v>2100</v>
          </cell>
          <cell r="D34">
            <v>2447</v>
          </cell>
          <cell r="E34">
            <v>699</v>
          </cell>
          <cell r="F34">
            <v>86</v>
          </cell>
          <cell r="G34">
            <v>8972</v>
          </cell>
          <cell r="H34">
            <v>12861</v>
          </cell>
          <cell r="I34">
            <v>1972</v>
          </cell>
          <cell r="J34">
            <v>611</v>
          </cell>
          <cell r="K34">
            <v>975</v>
          </cell>
          <cell r="L34">
            <v>72</v>
          </cell>
          <cell r="M34">
            <v>3255</v>
          </cell>
          <cell r="N34">
            <v>15.214285714285714</v>
          </cell>
          <cell r="O34">
            <v>89.35</v>
          </cell>
          <cell r="P34">
            <v>2.2337500000000001</v>
          </cell>
        </row>
        <row r="35">
          <cell r="B35" t="str">
            <v>Vedurukuppam</v>
          </cell>
          <cell r="C35">
            <v>1571</v>
          </cell>
          <cell r="D35">
            <v>1835</v>
          </cell>
          <cell r="E35">
            <v>921</v>
          </cell>
          <cell r="F35">
            <v>101</v>
          </cell>
          <cell r="G35">
            <v>5945</v>
          </cell>
          <cell r="H35">
            <v>9128</v>
          </cell>
          <cell r="I35">
            <v>1498</v>
          </cell>
          <cell r="J35">
            <v>475</v>
          </cell>
          <cell r="K35">
            <v>977</v>
          </cell>
          <cell r="L35">
            <v>29</v>
          </cell>
          <cell r="M35">
            <v>2694</v>
          </cell>
          <cell r="N35">
            <v>15.024188415022278</v>
          </cell>
          <cell r="O35">
            <v>88.23</v>
          </cell>
          <cell r="P35">
            <v>2.2057500000000001</v>
          </cell>
        </row>
        <row r="36">
          <cell r="B36" t="str">
            <v>Kuppam UPS</v>
          </cell>
          <cell r="C36">
            <v>3467</v>
          </cell>
          <cell r="D36">
            <v>4655</v>
          </cell>
          <cell r="E36">
            <v>1827</v>
          </cell>
          <cell r="F36">
            <v>204</v>
          </cell>
          <cell r="G36">
            <v>13842</v>
          </cell>
          <cell r="H36">
            <v>19779</v>
          </cell>
          <cell r="I36">
            <v>3125</v>
          </cell>
          <cell r="J36">
            <v>1364</v>
          </cell>
          <cell r="K36">
            <v>1298</v>
          </cell>
          <cell r="L36">
            <v>172</v>
          </cell>
          <cell r="M36">
            <v>4660</v>
          </cell>
          <cell r="N36">
            <v>14.688779925007211</v>
          </cell>
          <cell r="O36">
            <v>86.26</v>
          </cell>
          <cell r="P36">
            <v>2.1565000000000003</v>
          </cell>
        </row>
        <row r="37">
          <cell r="C37">
            <v>58973</v>
          </cell>
          <cell r="D37">
            <v>70954</v>
          </cell>
          <cell r="E37">
            <v>52207</v>
          </cell>
          <cell r="F37">
            <v>5576</v>
          </cell>
          <cell r="G37">
            <v>280296</v>
          </cell>
          <cell r="H37">
            <v>395569</v>
          </cell>
          <cell r="I37">
            <v>60711</v>
          </cell>
          <cell r="J37">
            <v>20984</v>
          </cell>
          <cell r="K37">
            <v>33318</v>
          </cell>
          <cell r="L37">
            <v>3397</v>
          </cell>
          <cell r="M37">
            <v>81165</v>
          </cell>
          <cell r="N37">
            <v>17.027741508826072</v>
          </cell>
          <cell r="O37">
            <v>96.922058823529426</v>
          </cell>
          <cell r="P37">
            <v>2.4230514705882351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History Sheets</v>
          </cell>
          <cell r="M2" t="str">
            <v>41 Crpc</v>
          </cell>
          <cell r="N2" t="str">
            <v>Forms per FIR</v>
          </cell>
          <cell r="O2" t="str">
            <v>Raw Value</v>
          </cell>
          <cell r="P2" t="str">
            <v>MARKS</v>
          </cell>
        </row>
        <row r="3">
          <cell r="B3" t="str">
            <v>Gudipalli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100</v>
          </cell>
          <cell r="O3">
            <v>100</v>
          </cell>
          <cell r="P3">
            <v>2.5</v>
          </cell>
        </row>
        <row r="4">
          <cell r="B4" t="str">
            <v>Kanipakam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96.71</v>
          </cell>
          <cell r="O4">
            <v>96.71</v>
          </cell>
          <cell r="P4">
            <v>2.4177499999999998</v>
          </cell>
        </row>
        <row r="5">
          <cell r="B5" t="str">
            <v>CCS Chittoor UPS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50</v>
          </cell>
          <cell r="O5">
            <v>50</v>
          </cell>
          <cell r="P5">
            <v>1.25</v>
          </cell>
        </row>
        <row r="6">
          <cell r="B6" t="str">
            <v>Narsingarayanipet(N.R.Pet)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4</v>
          </cell>
          <cell r="H6">
            <v>4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10</v>
          </cell>
          <cell r="O6">
            <v>79.58</v>
          </cell>
          <cell r="P6">
            <v>1.9895</v>
          </cell>
        </row>
        <row r="7">
          <cell r="B7" t="str">
            <v>Chittoor Traffic UPS</v>
          </cell>
          <cell r="C7">
            <v>2</v>
          </cell>
          <cell r="D7">
            <v>2</v>
          </cell>
          <cell r="E7">
            <v>0</v>
          </cell>
          <cell r="F7">
            <v>0</v>
          </cell>
          <cell r="G7">
            <v>4</v>
          </cell>
          <cell r="H7">
            <v>10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</v>
          </cell>
          <cell r="N7">
            <v>9.5</v>
          </cell>
          <cell r="O7">
            <v>75.599999999999994</v>
          </cell>
          <cell r="P7">
            <v>1.89</v>
          </cell>
        </row>
        <row r="8">
          <cell r="B8" t="str">
            <v>Chittoor II Town UPS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5</v>
          </cell>
          <cell r="H8">
            <v>11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9</v>
          </cell>
          <cell r="O8">
            <v>71.62</v>
          </cell>
          <cell r="P8">
            <v>1.7905000000000002</v>
          </cell>
        </row>
        <row r="9">
          <cell r="B9" t="str">
            <v>Penumur</v>
          </cell>
          <cell r="C9">
            <v>2</v>
          </cell>
          <cell r="D9">
            <v>2</v>
          </cell>
          <cell r="E9">
            <v>0</v>
          </cell>
          <cell r="F9">
            <v>0</v>
          </cell>
          <cell r="G9">
            <v>3</v>
          </cell>
          <cell r="H9">
            <v>13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9</v>
          </cell>
          <cell r="O9">
            <v>71.62</v>
          </cell>
          <cell r="P9">
            <v>1.7905000000000002</v>
          </cell>
        </row>
        <row r="10">
          <cell r="B10" t="str">
            <v>Puthalapattu UPS</v>
          </cell>
          <cell r="C10">
            <v>1</v>
          </cell>
          <cell r="D10">
            <v>1</v>
          </cell>
          <cell r="E10">
            <v>0</v>
          </cell>
          <cell r="F10">
            <v>0</v>
          </cell>
          <cell r="G10">
            <v>2</v>
          </cell>
          <cell r="H10">
            <v>6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9</v>
          </cell>
          <cell r="O10">
            <v>71.62</v>
          </cell>
          <cell r="P10">
            <v>1.7905000000000002</v>
          </cell>
        </row>
        <row r="11">
          <cell r="B11" t="str">
            <v>Mahila UPS, Chittoor</v>
          </cell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5</v>
          </cell>
          <cell r="H11">
            <v>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2</v>
          </cell>
          <cell r="N11">
            <v>8</v>
          </cell>
          <cell r="O11">
            <v>63.66</v>
          </cell>
          <cell r="P11">
            <v>1.5914999999999999</v>
          </cell>
        </row>
        <row r="12">
          <cell r="B12" t="str">
            <v>Palamaner UPS</v>
          </cell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4</v>
          </cell>
          <cell r="H12">
            <v>10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8</v>
          </cell>
          <cell r="O12">
            <v>86.9375</v>
          </cell>
          <cell r="P12">
            <v>2.1734374999999999</v>
          </cell>
        </row>
        <row r="13">
          <cell r="B13" t="str">
            <v>Nindra</v>
          </cell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3</v>
          </cell>
          <cell r="H13">
            <v>10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7.5</v>
          </cell>
          <cell r="O13">
            <v>87.5</v>
          </cell>
          <cell r="P13">
            <v>2.1875</v>
          </cell>
        </row>
        <row r="14">
          <cell r="B14" t="str">
            <v>Rallabudugur</v>
          </cell>
          <cell r="C14">
            <v>3</v>
          </cell>
          <cell r="D14">
            <v>2</v>
          </cell>
          <cell r="E14">
            <v>0</v>
          </cell>
          <cell r="F14">
            <v>0</v>
          </cell>
          <cell r="G14">
            <v>7</v>
          </cell>
          <cell r="H14">
            <v>13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7.333333333333333</v>
          </cell>
          <cell r="O14">
            <v>58.36</v>
          </cell>
          <cell r="P14">
            <v>1.4590000000000001</v>
          </cell>
        </row>
        <row r="15">
          <cell r="B15" t="str">
            <v>Chittoor Taluk PS</v>
          </cell>
          <cell r="C15">
            <v>2</v>
          </cell>
          <cell r="D15">
            <v>2</v>
          </cell>
          <cell r="E15">
            <v>0</v>
          </cell>
          <cell r="F15">
            <v>0</v>
          </cell>
          <cell r="G15">
            <v>6</v>
          </cell>
          <cell r="H15">
            <v>6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7</v>
          </cell>
          <cell r="O15">
            <v>55.7</v>
          </cell>
          <cell r="P15">
            <v>1.3925000000000001</v>
          </cell>
        </row>
        <row r="16">
          <cell r="B16" t="str">
            <v>G.D.Nellore UPS</v>
          </cell>
          <cell r="C16">
            <v>2</v>
          </cell>
          <cell r="D16">
            <v>2</v>
          </cell>
          <cell r="E16">
            <v>0</v>
          </cell>
          <cell r="F16">
            <v>0</v>
          </cell>
          <cell r="G16">
            <v>6</v>
          </cell>
          <cell r="H16">
            <v>6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7</v>
          </cell>
          <cell r="O16">
            <v>55.7</v>
          </cell>
          <cell r="P16">
            <v>1.3925000000000001</v>
          </cell>
        </row>
        <row r="17">
          <cell r="B17" t="str">
            <v>K. Nagar</v>
          </cell>
          <cell r="C17">
            <v>2</v>
          </cell>
          <cell r="D17">
            <v>2</v>
          </cell>
          <cell r="E17">
            <v>0</v>
          </cell>
          <cell r="F17">
            <v>0</v>
          </cell>
          <cell r="G17">
            <v>2</v>
          </cell>
          <cell r="H17">
            <v>10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7</v>
          </cell>
          <cell r="O17">
            <v>55.7</v>
          </cell>
          <cell r="P17">
            <v>1.3925000000000001</v>
          </cell>
        </row>
        <row r="18">
          <cell r="B18" t="str">
            <v>Nagari UPS</v>
          </cell>
          <cell r="C18">
            <v>1</v>
          </cell>
          <cell r="D18">
            <v>1</v>
          </cell>
          <cell r="E18">
            <v>0</v>
          </cell>
          <cell r="F18">
            <v>0</v>
          </cell>
          <cell r="G18">
            <v>1</v>
          </cell>
          <cell r="H18">
            <v>5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</v>
          </cell>
          <cell r="O18">
            <v>84.537499999999994</v>
          </cell>
          <cell r="P18">
            <v>2.1134374999999999</v>
          </cell>
        </row>
        <row r="19">
          <cell r="B19" t="str">
            <v>Panjani</v>
          </cell>
          <cell r="C19">
            <v>6</v>
          </cell>
          <cell r="D19">
            <v>7</v>
          </cell>
          <cell r="E19">
            <v>0</v>
          </cell>
          <cell r="F19">
            <v>0</v>
          </cell>
          <cell r="G19">
            <v>8</v>
          </cell>
          <cell r="H19">
            <v>26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6.833333333333333</v>
          </cell>
          <cell r="O19">
            <v>87.5</v>
          </cell>
          <cell r="P19">
            <v>2.1875</v>
          </cell>
        </row>
        <row r="20">
          <cell r="B20" t="str">
            <v>Rompicherla</v>
          </cell>
          <cell r="C20">
            <v>2</v>
          </cell>
          <cell r="D20">
            <v>2</v>
          </cell>
          <cell r="E20">
            <v>0</v>
          </cell>
          <cell r="F20">
            <v>0</v>
          </cell>
          <cell r="G20">
            <v>4</v>
          </cell>
          <cell r="H20">
            <v>7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6.5</v>
          </cell>
          <cell r="O20">
            <v>51.72</v>
          </cell>
          <cell r="P20">
            <v>1.2930000000000001</v>
          </cell>
        </row>
        <row r="21">
          <cell r="B21" t="str">
            <v>Gangavaram UPS</v>
          </cell>
          <cell r="C21">
            <v>2</v>
          </cell>
          <cell r="D21">
            <v>2</v>
          </cell>
          <cell r="E21">
            <v>0</v>
          </cell>
          <cell r="F21">
            <v>0</v>
          </cell>
          <cell r="G21">
            <v>2</v>
          </cell>
          <cell r="H21">
            <v>9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6.5</v>
          </cell>
          <cell r="O21">
            <v>60.9</v>
          </cell>
          <cell r="P21">
            <v>1.5225</v>
          </cell>
        </row>
        <row r="22">
          <cell r="B22" t="str">
            <v>S.R.Puram</v>
          </cell>
          <cell r="C22">
            <v>3</v>
          </cell>
          <cell r="D22">
            <v>3</v>
          </cell>
          <cell r="E22">
            <v>0</v>
          </cell>
          <cell r="F22">
            <v>0</v>
          </cell>
          <cell r="G22">
            <v>3</v>
          </cell>
          <cell r="H22">
            <v>12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</v>
          </cell>
          <cell r="O22">
            <v>47.75</v>
          </cell>
          <cell r="P22">
            <v>1.1937500000000001</v>
          </cell>
        </row>
        <row r="23">
          <cell r="B23" t="str">
            <v>Kallur</v>
          </cell>
          <cell r="C23">
            <v>2</v>
          </cell>
          <cell r="D23">
            <v>2</v>
          </cell>
          <cell r="E23">
            <v>0</v>
          </cell>
          <cell r="F23">
            <v>0</v>
          </cell>
          <cell r="G23">
            <v>2</v>
          </cell>
          <cell r="H23">
            <v>8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</v>
          </cell>
          <cell r="O23">
            <v>47.75</v>
          </cell>
          <cell r="P23">
            <v>1.1937500000000001</v>
          </cell>
        </row>
        <row r="24">
          <cell r="B24" t="str">
            <v>Kuppam UPS</v>
          </cell>
          <cell r="C24">
            <v>5</v>
          </cell>
          <cell r="D24">
            <v>5</v>
          </cell>
          <cell r="E24">
            <v>0</v>
          </cell>
          <cell r="F24">
            <v>0</v>
          </cell>
          <cell r="G24">
            <v>10</v>
          </cell>
          <cell r="H24">
            <v>13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5.8</v>
          </cell>
          <cell r="O24">
            <v>46.15</v>
          </cell>
          <cell r="P24">
            <v>1.1537500000000001</v>
          </cell>
        </row>
        <row r="25">
          <cell r="B25" t="str">
            <v>Bangarupalem UPS</v>
          </cell>
          <cell r="C25">
            <v>5</v>
          </cell>
          <cell r="D25">
            <v>5</v>
          </cell>
          <cell r="E25">
            <v>0</v>
          </cell>
          <cell r="F25">
            <v>0</v>
          </cell>
          <cell r="G25">
            <v>5</v>
          </cell>
          <cell r="H25">
            <v>18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</v>
          </cell>
          <cell r="N25">
            <v>5.8</v>
          </cell>
          <cell r="O25">
            <v>99.4375</v>
          </cell>
          <cell r="P25">
            <v>2.4859375000000004</v>
          </cell>
        </row>
        <row r="26">
          <cell r="B26" t="str">
            <v>Chittoor I Town UPS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3</v>
          </cell>
          <cell r="H26">
            <v>11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5.666666666666667</v>
          </cell>
          <cell r="O26">
            <v>45.09</v>
          </cell>
          <cell r="P26">
            <v>1.1272500000000001</v>
          </cell>
        </row>
        <row r="27">
          <cell r="B27" t="str">
            <v>V.Kota UPS</v>
          </cell>
          <cell r="C27">
            <v>8</v>
          </cell>
          <cell r="D27">
            <v>8</v>
          </cell>
          <cell r="E27">
            <v>0</v>
          </cell>
          <cell r="F27">
            <v>0</v>
          </cell>
          <cell r="G27">
            <v>10</v>
          </cell>
          <cell r="H27">
            <v>23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5.125</v>
          </cell>
          <cell r="O27">
            <v>50</v>
          </cell>
          <cell r="P27">
            <v>1.25</v>
          </cell>
        </row>
        <row r="28">
          <cell r="B28" t="str">
            <v>Yadamari</v>
          </cell>
          <cell r="C28">
            <v>3</v>
          </cell>
          <cell r="D28">
            <v>3</v>
          </cell>
          <cell r="E28">
            <v>0</v>
          </cell>
          <cell r="F28">
            <v>0</v>
          </cell>
          <cell r="G28">
            <v>3</v>
          </cell>
          <cell r="H28">
            <v>5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</v>
          </cell>
          <cell r="N28">
            <v>4</v>
          </cell>
          <cell r="O28">
            <v>31.83</v>
          </cell>
          <cell r="P28">
            <v>0.79574999999999996</v>
          </cell>
        </row>
        <row r="29">
          <cell r="B29" t="str">
            <v>Thavanampalle</v>
          </cell>
          <cell r="C29">
            <v>2</v>
          </cell>
          <cell r="D29">
            <v>2</v>
          </cell>
          <cell r="E29">
            <v>0</v>
          </cell>
          <cell r="F29">
            <v>0</v>
          </cell>
          <cell r="G29">
            <v>4</v>
          </cell>
          <cell r="H29">
            <v>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4</v>
          </cell>
          <cell r="O29">
            <v>31.83</v>
          </cell>
          <cell r="P29">
            <v>0.79574999999999996</v>
          </cell>
        </row>
        <row r="30">
          <cell r="B30" t="str">
            <v>Gudipala</v>
          </cell>
          <cell r="C30">
            <v>1</v>
          </cell>
          <cell r="D30">
            <v>1</v>
          </cell>
          <cell r="E30">
            <v>0</v>
          </cell>
          <cell r="F30">
            <v>0</v>
          </cell>
          <cell r="G30">
            <v>1</v>
          </cell>
          <cell r="H30">
            <v>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4</v>
          </cell>
          <cell r="O30">
            <v>31.83</v>
          </cell>
          <cell r="P30">
            <v>0.79574999999999996</v>
          </cell>
        </row>
        <row r="31">
          <cell r="B31" t="str">
            <v>Vijayapuram</v>
          </cell>
          <cell r="C31">
            <v>1</v>
          </cell>
          <cell r="D31">
            <v>1</v>
          </cell>
          <cell r="E31">
            <v>0</v>
          </cell>
          <cell r="F31">
            <v>0</v>
          </cell>
          <cell r="G31">
            <v>1</v>
          </cell>
          <cell r="H31">
            <v>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4</v>
          </cell>
          <cell r="O31">
            <v>100</v>
          </cell>
          <cell r="P31">
            <v>2.5</v>
          </cell>
        </row>
        <row r="32">
          <cell r="B32" t="str">
            <v>Baireddypalle</v>
          </cell>
          <cell r="C32">
            <v>4</v>
          </cell>
          <cell r="D32">
            <v>4</v>
          </cell>
          <cell r="E32">
            <v>0</v>
          </cell>
          <cell r="F32">
            <v>0</v>
          </cell>
          <cell r="G32">
            <v>4</v>
          </cell>
          <cell r="H32">
            <v>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3.5</v>
          </cell>
          <cell r="O32">
            <v>79.622500000000002</v>
          </cell>
          <cell r="P32">
            <v>1.9905625000000002</v>
          </cell>
        </row>
        <row r="33">
          <cell r="B33" t="str">
            <v>Irala</v>
          </cell>
          <cell r="C33">
            <v>2</v>
          </cell>
          <cell r="D33">
            <v>1</v>
          </cell>
          <cell r="E33">
            <v>0</v>
          </cell>
          <cell r="F33">
            <v>0</v>
          </cell>
          <cell r="G33">
            <v>1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1.5</v>
          </cell>
          <cell r="O33">
            <v>11.94</v>
          </cell>
          <cell r="P33">
            <v>0.29849999999999999</v>
          </cell>
        </row>
        <row r="34">
          <cell r="B34" t="str">
            <v>Ramakuppam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100</v>
          </cell>
          <cell r="P34">
            <v>2.5</v>
          </cell>
        </row>
        <row r="35">
          <cell r="B35" t="str">
            <v>Palasamudram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94.57</v>
          </cell>
          <cell r="P35">
            <v>2.3642499999999997</v>
          </cell>
        </row>
        <row r="36">
          <cell r="B36" t="str">
            <v>Vedurukuppam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87.6</v>
          </cell>
          <cell r="P36">
            <v>2.19</v>
          </cell>
        </row>
        <row r="37">
          <cell r="C37">
            <v>73</v>
          </cell>
          <cell r="D37">
            <v>72</v>
          </cell>
          <cell r="E37">
            <v>0</v>
          </cell>
          <cell r="F37">
            <v>0</v>
          </cell>
          <cell r="G37">
            <v>113</v>
          </cell>
          <cell r="H37">
            <v>256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9</v>
          </cell>
          <cell r="N37">
            <v>12.56671568627451</v>
          </cell>
          <cell r="O37">
            <v>66.775441176470579</v>
          </cell>
          <cell r="P37">
            <v>1.6693860294117646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K. Nagar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Baireddypalle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Nindra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Bangarupalem UPS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Gudipalli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Vedurukuppam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Puthalapattu UPS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Thavanampalle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Ramakuppam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Nagari UPS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Panjani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V.Kota UPS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Gangavaram UPS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Chittoor II Town UPS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S.R.Puram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Kanipakam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Gudipala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Kuppam UPS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Rallabudugur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Chittoor I Town UPS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Irala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G.D.Nellore UPS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Chittoor Traffic UPS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Kallur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Palamaner UPS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Yadamari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Vijayapuram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Narsingarayanipet(N.R.Pet)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Penumur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Rompicherla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Chittoor Taluk PS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Mahila UPS, Chittoor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Palasamudram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B36" t="str">
            <v>CCS Chittoor UPS</v>
          </cell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Baireddypalle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Bangarupalem UPS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CCS Chittoor UPS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Chittoor I Town UPS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Chittoor II Town UPS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Chittoor Taluk PS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Chittoor Traffic UPS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G.D.Nellore UPS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Gangavaram UPS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Gudipala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Gudipalli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Irala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K. Nagar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Kallur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Kanipakam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Kuppam UPS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Mahila UPS, Chittoor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Nagari UPS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Narsingarayanipet(N.R.Pet)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Nindra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Palamaner UPS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Palasamudram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Panjani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Penumur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Puthalapattu UPS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Rallabudugur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Ramakuppam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Rompicherla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S.R.Puram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Thavanampalle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V.Kota UPS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Vedurukuppam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Vijayapuram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B36" t="str">
            <v>Yadamari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Baireddypalle</v>
          </cell>
          <cell r="C3">
            <v>36</v>
          </cell>
          <cell r="D3">
            <v>36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Bangarupalem ups</v>
          </cell>
          <cell r="C4">
            <v>205</v>
          </cell>
          <cell r="D4">
            <v>205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CCS Chittoor UPS</v>
          </cell>
          <cell r="C5">
            <v>33</v>
          </cell>
          <cell r="D5">
            <v>33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Chittoor I Town UPS</v>
          </cell>
          <cell r="C6">
            <v>213</v>
          </cell>
          <cell r="D6">
            <v>213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Chittoor II Town UPS</v>
          </cell>
          <cell r="C7">
            <v>266</v>
          </cell>
          <cell r="D7">
            <v>266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Chittoor Taluk PS</v>
          </cell>
          <cell r="C8">
            <v>98</v>
          </cell>
          <cell r="D8">
            <v>98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Chittoor Traffic UPS</v>
          </cell>
          <cell r="C9">
            <v>7</v>
          </cell>
          <cell r="D9">
            <v>7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G.D.Nellore UPS</v>
          </cell>
          <cell r="C10">
            <v>131</v>
          </cell>
          <cell r="D10">
            <v>131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Gangavaram UPS</v>
          </cell>
          <cell r="C11">
            <v>66</v>
          </cell>
          <cell r="D11">
            <v>66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Gudipala</v>
          </cell>
          <cell r="C12">
            <v>34</v>
          </cell>
          <cell r="D12">
            <v>34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Gudipalli</v>
          </cell>
          <cell r="C13">
            <v>191</v>
          </cell>
          <cell r="D13">
            <v>191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Irala</v>
          </cell>
          <cell r="C14">
            <v>17</v>
          </cell>
          <cell r="D14">
            <v>17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K. Nagar</v>
          </cell>
          <cell r="C15">
            <v>27</v>
          </cell>
          <cell r="D15">
            <v>27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Kallur</v>
          </cell>
          <cell r="C16">
            <v>50</v>
          </cell>
          <cell r="D16">
            <v>50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Kanipakam</v>
          </cell>
          <cell r="C17">
            <v>23</v>
          </cell>
          <cell r="D17">
            <v>23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Kuppam UPS</v>
          </cell>
          <cell r="C18">
            <v>117</v>
          </cell>
          <cell r="D18">
            <v>117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Mahila UPS, Chittoor</v>
          </cell>
          <cell r="C19">
            <v>14</v>
          </cell>
          <cell r="D19">
            <v>14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Nagari UPS</v>
          </cell>
          <cell r="C20">
            <v>173</v>
          </cell>
          <cell r="D20">
            <v>173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Narsingarayanipet(N.R.Pet)</v>
          </cell>
          <cell r="C21">
            <v>75</v>
          </cell>
          <cell r="D21">
            <v>75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Nindra</v>
          </cell>
          <cell r="C22">
            <v>27</v>
          </cell>
          <cell r="D22">
            <v>27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Palamaner UPS</v>
          </cell>
          <cell r="C23">
            <v>214</v>
          </cell>
          <cell r="D23">
            <v>214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Palasamudram</v>
          </cell>
          <cell r="C24">
            <v>8</v>
          </cell>
          <cell r="D24">
            <v>8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Panjani</v>
          </cell>
          <cell r="C25">
            <v>63</v>
          </cell>
          <cell r="D25">
            <v>63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Penumur</v>
          </cell>
          <cell r="C26">
            <v>53</v>
          </cell>
          <cell r="D26">
            <v>53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Puthalapattu UPS</v>
          </cell>
          <cell r="C27">
            <v>115</v>
          </cell>
          <cell r="D27">
            <v>115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Rallabudugur</v>
          </cell>
          <cell r="C28">
            <v>448</v>
          </cell>
          <cell r="D28">
            <v>448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Ramakuppam</v>
          </cell>
          <cell r="C29">
            <v>135</v>
          </cell>
          <cell r="D29">
            <v>135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Rompicherla</v>
          </cell>
          <cell r="C30">
            <v>28</v>
          </cell>
          <cell r="D30">
            <v>28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S.R.Puram</v>
          </cell>
          <cell r="C31">
            <v>121</v>
          </cell>
          <cell r="D31">
            <v>121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Thavanampalle</v>
          </cell>
          <cell r="C32">
            <v>75</v>
          </cell>
          <cell r="D32">
            <v>75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V.Kota UPS</v>
          </cell>
          <cell r="C33">
            <v>84</v>
          </cell>
          <cell r="D33">
            <v>84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Vedurukuppam</v>
          </cell>
          <cell r="C34">
            <v>23</v>
          </cell>
          <cell r="D34">
            <v>23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Vijayapuram</v>
          </cell>
          <cell r="C35">
            <v>20</v>
          </cell>
          <cell r="D35">
            <v>20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B36" t="str">
            <v>Yadamari</v>
          </cell>
          <cell r="C36">
            <v>76</v>
          </cell>
          <cell r="D36">
            <v>76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  <row r="37">
          <cell r="C37">
            <v>1125</v>
          </cell>
          <cell r="D37">
            <v>3266</v>
          </cell>
          <cell r="E37">
            <v>0</v>
          </cell>
          <cell r="F37">
            <v>0</v>
          </cell>
          <cell r="G37">
            <v>100</v>
          </cell>
          <cell r="H37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(E )</v>
          </cell>
          <cell r="F2" t="str">
            <v>FIRS NOT 
HAVING  SID (F)</v>
          </cell>
          <cell r="G2" t="str">
            <v>E SAKSHYA COMPLIANCE %
(E)*100/C
RAW VALUE</v>
          </cell>
          <cell r="H2" t="str">
            <v>Marks</v>
          </cell>
        </row>
        <row r="4">
          <cell r="B4" t="str">
            <v>Baireddypalle</v>
          </cell>
          <cell r="C4">
            <v>295</v>
          </cell>
          <cell r="D4">
            <v>349</v>
          </cell>
          <cell r="E4">
            <v>294</v>
          </cell>
          <cell r="F4">
            <v>1</v>
          </cell>
          <cell r="G4">
            <v>99.66101694915254</v>
          </cell>
          <cell r="H4">
            <v>4.9830508474576272</v>
          </cell>
        </row>
        <row r="5">
          <cell r="B5" t="str">
            <v>Bangarupalem UPS</v>
          </cell>
          <cell r="C5">
            <v>546</v>
          </cell>
          <cell r="D5">
            <v>663</v>
          </cell>
          <cell r="E5">
            <v>520</v>
          </cell>
          <cell r="F5">
            <v>26</v>
          </cell>
          <cell r="G5">
            <v>95.238095238095241</v>
          </cell>
          <cell r="H5">
            <v>4.7619047619047619</v>
          </cell>
        </row>
        <row r="6">
          <cell r="B6" t="str">
            <v>CCS Chittoor UPS</v>
          </cell>
          <cell r="C6">
            <v>4</v>
          </cell>
          <cell r="D6">
            <v>8</v>
          </cell>
          <cell r="E6">
            <v>5</v>
          </cell>
          <cell r="F6">
            <v>1</v>
          </cell>
          <cell r="G6">
            <v>100</v>
          </cell>
          <cell r="H6">
            <v>5</v>
          </cell>
        </row>
        <row r="7">
          <cell r="B7" t="str">
            <v>Chittoor I Town UPS</v>
          </cell>
          <cell r="C7">
            <v>378</v>
          </cell>
          <cell r="D7">
            <v>709</v>
          </cell>
          <cell r="E7">
            <v>375</v>
          </cell>
          <cell r="F7">
            <v>3</v>
          </cell>
          <cell r="G7">
            <v>99.206349206349202</v>
          </cell>
          <cell r="H7">
            <v>4.9603174603174605</v>
          </cell>
        </row>
        <row r="8">
          <cell r="B8" t="str">
            <v>Chittoor II Town UPS</v>
          </cell>
          <cell r="C8">
            <v>392</v>
          </cell>
          <cell r="D8">
            <v>730</v>
          </cell>
          <cell r="E8">
            <v>396</v>
          </cell>
          <cell r="F8">
            <v>4</v>
          </cell>
          <cell r="G8">
            <v>100</v>
          </cell>
          <cell r="H8">
            <v>5</v>
          </cell>
        </row>
        <row r="9">
          <cell r="B9" t="str">
            <v>Chittoor Taluk PS</v>
          </cell>
          <cell r="C9">
            <v>303</v>
          </cell>
          <cell r="D9">
            <v>462</v>
          </cell>
          <cell r="E9">
            <v>299</v>
          </cell>
          <cell r="F9">
            <v>4</v>
          </cell>
          <cell r="G9">
            <v>98.679867986798683</v>
          </cell>
          <cell r="H9">
            <v>4.9339933993399345</v>
          </cell>
        </row>
        <row r="10">
          <cell r="B10" t="str">
            <v>Chittoor Traffic UPS</v>
          </cell>
          <cell r="C10">
            <v>139</v>
          </cell>
          <cell r="D10">
            <v>222</v>
          </cell>
          <cell r="E10">
            <v>144</v>
          </cell>
          <cell r="F10">
            <v>5</v>
          </cell>
          <cell r="G10">
            <v>100</v>
          </cell>
          <cell r="H10">
            <v>5</v>
          </cell>
        </row>
        <row r="11">
          <cell r="B11" t="str">
            <v>G.D.Nellore UPS</v>
          </cell>
          <cell r="C11">
            <v>361</v>
          </cell>
          <cell r="D11">
            <v>623</v>
          </cell>
          <cell r="E11">
            <v>392</v>
          </cell>
          <cell r="F11">
            <v>31</v>
          </cell>
          <cell r="G11">
            <v>100</v>
          </cell>
          <cell r="H11">
            <v>5</v>
          </cell>
        </row>
        <row r="12">
          <cell r="B12" t="str">
            <v>Gangavaram UPS</v>
          </cell>
          <cell r="C12">
            <v>471</v>
          </cell>
          <cell r="D12">
            <v>697</v>
          </cell>
          <cell r="E12">
            <v>505</v>
          </cell>
          <cell r="F12">
            <v>34</v>
          </cell>
          <cell r="G12">
            <v>100</v>
          </cell>
          <cell r="H12">
            <v>5</v>
          </cell>
        </row>
        <row r="13">
          <cell r="B13" t="str">
            <v>Gudipala</v>
          </cell>
          <cell r="C13">
            <v>301</v>
          </cell>
          <cell r="D13">
            <v>405</v>
          </cell>
          <cell r="E13">
            <v>291</v>
          </cell>
          <cell r="F13">
            <v>10</v>
          </cell>
          <cell r="G13">
            <v>96.677740863787378</v>
          </cell>
          <cell r="H13">
            <v>4.8338870431893692</v>
          </cell>
        </row>
        <row r="14">
          <cell r="B14" t="str">
            <v>Gudipalli</v>
          </cell>
          <cell r="C14">
            <v>234</v>
          </cell>
          <cell r="D14">
            <v>109</v>
          </cell>
          <cell r="E14">
            <v>92</v>
          </cell>
          <cell r="F14">
            <v>142</v>
          </cell>
          <cell r="G14">
            <v>39.316239316239319</v>
          </cell>
          <cell r="H14">
            <v>1.9658119658119659</v>
          </cell>
        </row>
        <row r="15">
          <cell r="B15" t="str">
            <v>Irala</v>
          </cell>
          <cell r="C15">
            <v>184</v>
          </cell>
          <cell r="D15">
            <v>234</v>
          </cell>
          <cell r="E15">
            <v>199</v>
          </cell>
          <cell r="F15">
            <v>15</v>
          </cell>
          <cell r="G15">
            <v>100</v>
          </cell>
          <cell r="H15">
            <v>5</v>
          </cell>
        </row>
        <row r="16">
          <cell r="B16" t="str">
            <v>K. Nagar</v>
          </cell>
          <cell r="C16">
            <v>301</v>
          </cell>
          <cell r="D16">
            <v>321</v>
          </cell>
          <cell r="E16">
            <v>303</v>
          </cell>
          <cell r="F16">
            <v>2</v>
          </cell>
          <cell r="G16">
            <v>100</v>
          </cell>
          <cell r="H16">
            <v>5</v>
          </cell>
        </row>
        <row r="17">
          <cell r="B17" t="str">
            <v>Kallur</v>
          </cell>
          <cell r="C17">
            <v>255</v>
          </cell>
          <cell r="D17">
            <v>429</v>
          </cell>
          <cell r="E17">
            <v>263</v>
          </cell>
          <cell r="F17">
            <v>8</v>
          </cell>
          <cell r="G17">
            <v>100</v>
          </cell>
          <cell r="H17">
            <v>5</v>
          </cell>
        </row>
        <row r="18">
          <cell r="B18" t="str">
            <v>Kanipakam</v>
          </cell>
          <cell r="C18">
            <v>143</v>
          </cell>
          <cell r="D18">
            <v>203</v>
          </cell>
          <cell r="E18">
            <v>132</v>
          </cell>
          <cell r="F18">
            <v>11</v>
          </cell>
          <cell r="G18">
            <v>92.307692307692307</v>
          </cell>
          <cell r="H18">
            <v>4.6153846153846159</v>
          </cell>
        </row>
        <row r="19">
          <cell r="B19" t="str">
            <v>Kuppam UPS</v>
          </cell>
          <cell r="C19">
            <v>733</v>
          </cell>
          <cell r="D19">
            <v>869</v>
          </cell>
          <cell r="E19">
            <v>632</v>
          </cell>
          <cell r="F19">
            <v>101</v>
          </cell>
          <cell r="G19">
            <v>86.221009549795355</v>
          </cell>
          <cell r="H19">
            <v>4.3110504774897676</v>
          </cell>
        </row>
        <row r="20">
          <cell r="B20" t="str">
            <v>Mahila UPS, Chittoor</v>
          </cell>
          <cell r="C20">
            <v>117</v>
          </cell>
          <cell r="D20">
            <v>215</v>
          </cell>
          <cell r="E20">
            <v>194</v>
          </cell>
          <cell r="F20">
            <v>77</v>
          </cell>
          <cell r="G20">
            <v>100</v>
          </cell>
          <cell r="H20">
            <v>5</v>
          </cell>
        </row>
        <row r="21">
          <cell r="B21" t="str">
            <v>Nagari UPS</v>
          </cell>
          <cell r="C21">
            <v>409</v>
          </cell>
          <cell r="D21">
            <v>477</v>
          </cell>
          <cell r="E21">
            <v>415</v>
          </cell>
          <cell r="F21">
            <v>6</v>
          </cell>
          <cell r="G21">
            <v>100</v>
          </cell>
          <cell r="H21">
            <v>5</v>
          </cell>
        </row>
        <row r="22">
          <cell r="B22" t="str">
            <v>Narsingarayanipet(N.R.Pet)</v>
          </cell>
          <cell r="C22">
            <v>117</v>
          </cell>
          <cell r="D22">
            <v>137</v>
          </cell>
          <cell r="E22">
            <v>115</v>
          </cell>
          <cell r="F22">
            <v>2</v>
          </cell>
          <cell r="G22">
            <v>98.290598290598297</v>
          </cell>
          <cell r="H22">
            <v>4.9145299145299148</v>
          </cell>
        </row>
        <row r="23">
          <cell r="B23" t="str">
            <v>Nindra</v>
          </cell>
          <cell r="C23">
            <v>166</v>
          </cell>
          <cell r="D23">
            <v>196</v>
          </cell>
          <cell r="E23">
            <v>180</v>
          </cell>
          <cell r="F23">
            <v>14</v>
          </cell>
          <cell r="G23">
            <v>100</v>
          </cell>
          <cell r="H23">
            <v>5</v>
          </cell>
        </row>
        <row r="24">
          <cell r="B24" t="str">
            <v>Palamaner UPS</v>
          </cell>
          <cell r="C24">
            <v>620</v>
          </cell>
          <cell r="D24">
            <v>891</v>
          </cell>
          <cell r="E24">
            <v>649</v>
          </cell>
          <cell r="F24">
            <v>29</v>
          </cell>
          <cell r="G24">
            <v>100</v>
          </cell>
          <cell r="H24">
            <v>5</v>
          </cell>
        </row>
        <row r="25">
          <cell r="B25" t="str">
            <v>Palasamudram</v>
          </cell>
          <cell r="C25">
            <v>138</v>
          </cell>
          <cell r="D25">
            <v>154</v>
          </cell>
          <cell r="E25">
            <v>143</v>
          </cell>
          <cell r="F25">
            <v>5</v>
          </cell>
          <cell r="G25">
            <v>100</v>
          </cell>
          <cell r="H25">
            <v>5</v>
          </cell>
        </row>
        <row r="26">
          <cell r="B26" t="str">
            <v>Panjani</v>
          </cell>
          <cell r="C26">
            <v>334</v>
          </cell>
          <cell r="D26">
            <v>492</v>
          </cell>
          <cell r="E26">
            <v>337</v>
          </cell>
          <cell r="F26">
            <v>3</v>
          </cell>
          <cell r="G26">
            <v>100</v>
          </cell>
          <cell r="H26">
            <v>5</v>
          </cell>
        </row>
        <row r="27">
          <cell r="B27" t="str">
            <v>Penumur</v>
          </cell>
          <cell r="C27">
            <v>235</v>
          </cell>
          <cell r="D27">
            <v>243</v>
          </cell>
          <cell r="E27">
            <v>231</v>
          </cell>
          <cell r="F27">
            <v>4</v>
          </cell>
          <cell r="G27">
            <v>98.297872340425528</v>
          </cell>
          <cell r="H27">
            <v>4.9148936170212769</v>
          </cell>
        </row>
        <row r="28">
          <cell r="B28" t="str">
            <v>Puthalapattu UPS</v>
          </cell>
          <cell r="C28">
            <v>290</v>
          </cell>
          <cell r="D28">
            <v>350</v>
          </cell>
          <cell r="E28">
            <v>272</v>
          </cell>
          <cell r="F28">
            <v>18</v>
          </cell>
          <cell r="G28">
            <v>93.793103448275858</v>
          </cell>
          <cell r="H28">
            <v>4.6896551724137927</v>
          </cell>
        </row>
        <row r="29">
          <cell r="B29" t="str">
            <v>Rallabudugur</v>
          </cell>
          <cell r="C29">
            <v>392</v>
          </cell>
          <cell r="D29">
            <v>463</v>
          </cell>
          <cell r="E29">
            <v>384</v>
          </cell>
          <cell r="F29">
            <v>8</v>
          </cell>
          <cell r="G29">
            <v>97.959183673469383</v>
          </cell>
          <cell r="H29">
            <v>4.8979591836734695</v>
          </cell>
        </row>
        <row r="30">
          <cell r="B30" t="str">
            <v>Ramakuppam</v>
          </cell>
          <cell r="C30">
            <v>335</v>
          </cell>
          <cell r="D30">
            <v>432</v>
          </cell>
          <cell r="E30">
            <v>352</v>
          </cell>
          <cell r="F30">
            <v>17</v>
          </cell>
          <cell r="G30">
            <v>100</v>
          </cell>
          <cell r="H30">
            <v>5</v>
          </cell>
        </row>
        <row r="31">
          <cell r="B31" t="str">
            <v>Rompicherla</v>
          </cell>
          <cell r="C31">
            <v>121</v>
          </cell>
          <cell r="D31">
            <v>172</v>
          </cell>
          <cell r="E31">
            <v>126</v>
          </cell>
          <cell r="F31">
            <v>5</v>
          </cell>
          <cell r="G31">
            <v>100</v>
          </cell>
          <cell r="H31">
            <v>5</v>
          </cell>
        </row>
        <row r="32">
          <cell r="B32" t="str">
            <v>S.R.Puram</v>
          </cell>
          <cell r="C32">
            <v>293</v>
          </cell>
          <cell r="D32">
            <v>328</v>
          </cell>
          <cell r="E32">
            <v>294</v>
          </cell>
          <cell r="F32">
            <v>1</v>
          </cell>
          <cell r="G32">
            <v>100</v>
          </cell>
          <cell r="H32">
            <v>5</v>
          </cell>
        </row>
        <row r="33">
          <cell r="B33" t="str">
            <v>Thavanampalle</v>
          </cell>
          <cell r="C33">
            <v>220</v>
          </cell>
          <cell r="D33">
            <v>436</v>
          </cell>
          <cell r="E33">
            <v>210</v>
          </cell>
          <cell r="F33">
            <v>10</v>
          </cell>
          <cell r="G33">
            <v>95.454545454545453</v>
          </cell>
          <cell r="H33">
            <v>4.7727272727272725</v>
          </cell>
        </row>
        <row r="34">
          <cell r="B34" t="str">
            <v>V.Kota UPS</v>
          </cell>
          <cell r="C34">
            <v>492</v>
          </cell>
          <cell r="D34">
            <v>564</v>
          </cell>
          <cell r="E34">
            <v>481</v>
          </cell>
          <cell r="F34">
            <v>11</v>
          </cell>
          <cell r="G34">
            <v>97.764227642276424</v>
          </cell>
          <cell r="H34">
            <v>4.8882113821138216</v>
          </cell>
        </row>
        <row r="35">
          <cell r="B35" t="str">
            <v>Vedurukuppam</v>
          </cell>
          <cell r="C35">
            <v>347</v>
          </cell>
          <cell r="D35">
            <v>412</v>
          </cell>
          <cell r="E35">
            <v>343</v>
          </cell>
          <cell r="F35">
            <v>4</v>
          </cell>
          <cell r="G35">
            <v>98.847262247838614</v>
          </cell>
          <cell r="H35">
            <v>4.9423631123919307</v>
          </cell>
        </row>
        <row r="36">
          <cell r="B36" t="str">
            <v>Vijayapuram</v>
          </cell>
          <cell r="C36">
            <v>163</v>
          </cell>
          <cell r="D36">
            <v>161</v>
          </cell>
          <cell r="E36">
            <v>149</v>
          </cell>
          <cell r="F36">
            <v>14</v>
          </cell>
          <cell r="G36">
            <v>91.411042944785279</v>
          </cell>
          <cell r="H36">
            <v>4.5705521472392645</v>
          </cell>
        </row>
        <row r="37">
          <cell r="B37" t="str">
            <v>Yadamari</v>
          </cell>
          <cell r="C37">
            <v>273</v>
          </cell>
          <cell r="D37">
            <v>503</v>
          </cell>
          <cell r="E37">
            <v>274</v>
          </cell>
          <cell r="F37">
            <v>1</v>
          </cell>
          <cell r="G37">
            <v>100</v>
          </cell>
          <cell r="H37">
            <v>5</v>
          </cell>
        </row>
        <row r="38">
          <cell r="C38">
            <v>10102</v>
          </cell>
          <cell r="D38">
            <v>13659</v>
          </cell>
          <cell r="E38">
            <v>9991</v>
          </cell>
          <cell r="F38">
            <v>627</v>
          </cell>
          <cell r="G38">
            <v>96.444877866474258</v>
          </cell>
          <cell r="H38">
            <v>4.8222438933237113</v>
          </cell>
        </row>
      </sheetData>
      <sheetData sheetId="10">
        <row r="2">
          <cell r="B2" t="str">
            <v>PS Name</v>
          </cell>
          <cell r="C2" t="str">
            <v xml:space="preserve">Total FIRS 
Registered </v>
          </cell>
          <cell r="D2" t="str">
            <v>Total no. of Alerts</v>
          </cell>
          <cell r="E2" t="str">
            <v>Raw Value</v>
          </cell>
          <cell r="F2" t="str">
            <v>Marks</v>
          </cell>
        </row>
        <row r="3">
          <cell r="B3" t="str">
            <v>Baireddypalle</v>
          </cell>
          <cell r="C3">
            <v>2</v>
          </cell>
          <cell r="D3" t="str">
            <v>not working</v>
          </cell>
          <cell r="E3">
            <v>100</v>
          </cell>
          <cell r="F3">
            <v>5</v>
          </cell>
        </row>
        <row r="4">
          <cell r="B4" t="str">
            <v>Bangarupalem UPS</v>
          </cell>
          <cell r="C4">
            <v>3</v>
          </cell>
          <cell r="D4" t="str">
            <v>not working</v>
          </cell>
          <cell r="E4">
            <v>100</v>
          </cell>
          <cell r="F4">
            <v>5</v>
          </cell>
        </row>
        <row r="5">
          <cell r="B5" t="str">
            <v>CCS Chittoor UPS</v>
          </cell>
          <cell r="C5">
            <v>0</v>
          </cell>
          <cell r="D5" t="str">
            <v>not working</v>
          </cell>
          <cell r="E5">
            <v>100</v>
          </cell>
          <cell r="F5">
            <v>5</v>
          </cell>
        </row>
        <row r="6">
          <cell r="B6" t="str">
            <v>Chittoor I Town UPS</v>
          </cell>
          <cell r="C6">
            <v>1</v>
          </cell>
          <cell r="D6" t="str">
            <v>not working</v>
          </cell>
          <cell r="E6">
            <v>100</v>
          </cell>
          <cell r="F6">
            <v>5</v>
          </cell>
        </row>
        <row r="7">
          <cell r="B7" t="str">
            <v>Chittoor II Town UPS</v>
          </cell>
          <cell r="C7">
            <v>7</v>
          </cell>
          <cell r="D7" t="str">
            <v>not working</v>
          </cell>
          <cell r="E7">
            <v>100</v>
          </cell>
          <cell r="F7">
            <v>5</v>
          </cell>
        </row>
        <row r="8">
          <cell r="B8" t="str">
            <v>Chittoor Taluk PS</v>
          </cell>
          <cell r="C8">
            <v>2</v>
          </cell>
          <cell r="D8" t="str">
            <v>not working</v>
          </cell>
          <cell r="E8">
            <v>100</v>
          </cell>
          <cell r="F8">
            <v>5</v>
          </cell>
        </row>
        <row r="9">
          <cell r="B9" t="str">
            <v>Chittoor Traffic UPS</v>
          </cell>
          <cell r="C9">
            <v>1</v>
          </cell>
          <cell r="D9" t="str">
            <v>not working</v>
          </cell>
          <cell r="E9">
            <v>100</v>
          </cell>
          <cell r="F9">
            <v>5</v>
          </cell>
        </row>
        <row r="10">
          <cell r="B10" t="str">
            <v>G.D.Nellore UPS</v>
          </cell>
          <cell r="C10">
            <v>2</v>
          </cell>
          <cell r="D10" t="str">
            <v>not working</v>
          </cell>
          <cell r="E10">
            <v>100</v>
          </cell>
          <cell r="F10">
            <v>5</v>
          </cell>
        </row>
        <row r="11">
          <cell r="B11" t="str">
            <v>Gangavaram UPS</v>
          </cell>
          <cell r="C11">
            <v>1</v>
          </cell>
          <cell r="D11" t="str">
            <v>not working</v>
          </cell>
          <cell r="E11">
            <v>100</v>
          </cell>
          <cell r="F11">
            <v>5</v>
          </cell>
        </row>
        <row r="12">
          <cell r="B12" t="str">
            <v>Gudipala</v>
          </cell>
          <cell r="C12">
            <v>5</v>
          </cell>
          <cell r="D12" t="str">
            <v>not working</v>
          </cell>
          <cell r="E12">
            <v>100</v>
          </cell>
          <cell r="F12">
            <v>5</v>
          </cell>
        </row>
        <row r="13">
          <cell r="B13" t="str">
            <v>Gudipalli</v>
          </cell>
          <cell r="C13">
            <v>1</v>
          </cell>
          <cell r="D13" t="str">
            <v>not working</v>
          </cell>
          <cell r="E13">
            <v>100</v>
          </cell>
          <cell r="F13">
            <v>5</v>
          </cell>
        </row>
        <row r="14">
          <cell r="B14" t="str">
            <v>Irala</v>
          </cell>
          <cell r="C14">
            <v>0</v>
          </cell>
          <cell r="D14" t="str">
            <v>not working</v>
          </cell>
          <cell r="E14">
            <v>100</v>
          </cell>
          <cell r="F14">
            <v>5</v>
          </cell>
        </row>
        <row r="15">
          <cell r="B15" t="str">
            <v>K. Nagar</v>
          </cell>
          <cell r="C15">
            <v>1</v>
          </cell>
          <cell r="D15" t="str">
            <v>not working</v>
          </cell>
          <cell r="E15">
            <v>100</v>
          </cell>
          <cell r="F15">
            <v>5</v>
          </cell>
        </row>
        <row r="16">
          <cell r="B16" t="str">
            <v>Kallur</v>
          </cell>
          <cell r="C16">
            <v>0</v>
          </cell>
          <cell r="D16" t="str">
            <v>not working</v>
          </cell>
          <cell r="E16">
            <v>100</v>
          </cell>
          <cell r="F16">
            <v>5</v>
          </cell>
        </row>
        <row r="17">
          <cell r="B17" t="str">
            <v>Kanipakam</v>
          </cell>
          <cell r="C17">
            <v>1</v>
          </cell>
          <cell r="D17" t="str">
            <v>not working</v>
          </cell>
          <cell r="E17">
            <v>100</v>
          </cell>
          <cell r="F17">
            <v>5</v>
          </cell>
        </row>
        <row r="18">
          <cell r="B18" t="str">
            <v>Kuppam UPS</v>
          </cell>
          <cell r="C18">
            <v>1</v>
          </cell>
          <cell r="D18" t="str">
            <v>not working</v>
          </cell>
          <cell r="E18">
            <v>100</v>
          </cell>
          <cell r="F18">
            <v>5</v>
          </cell>
        </row>
        <row r="19">
          <cell r="B19" t="str">
            <v>Mahila UPS, Chittoor</v>
          </cell>
          <cell r="C19">
            <v>0</v>
          </cell>
          <cell r="D19" t="str">
            <v>not working</v>
          </cell>
          <cell r="E19">
            <v>100</v>
          </cell>
          <cell r="F19">
            <v>5</v>
          </cell>
        </row>
        <row r="20">
          <cell r="B20" t="str">
            <v>Nagari UPS</v>
          </cell>
          <cell r="C20">
            <v>0</v>
          </cell>
          <cell r="D20" t="str">
            <v>not working</v>
          </cell>
          <cell r="E20">
            <v>100</v>
          </cell>
          <cell r="F20">
            <v>5</v>
          </cell>
        </row>
        <row r="21">
          <cell r="B21" t="str">
            <v>Narsingarayanipet(N.R.Pet)</v>
          </cell>
          <cell r="C21">
            <v>0</v>
          </cell>
          <cell r="D21" t="str">
            <v>not working</v>
          </cell>
          <cell r="E21">
            <v>100</v>
          </cell>
          <cell r="F21">
            <v>5</v>
          </cell>
        </row>
        <row r="22">
          <cell r="B22" t="str">
            <v>Nindra</v>
          </cell>
          <cell r="C22">
            <v>0</v>
          </cell>
          <cell r="D22" t="str">
            <v>not working</v>
          </cell>
          <cell r="E22">
            <v>100</v>
          </cell>
          <cell r="F22">
            <v>5</v>
          </cell>
        </row>
        <row r="23">
          <cell r="B23" t="str">
            <v>Palamaner UPS</v>
          </cell>
          <cell r="C23">
            <v>4</v>
          </cell>
          <cell r="D23" t="str">
            <v>not working</v>
          </cell>
          <cell r="E23">
            <v>100</v>
          </cell>
          <cell r="F23">
            <v>5</v>
          </cell>
        </row>
        <row r="24">
          <cell r="B24" t="str">
            <v>Palasamudram</v>
          </cell>
          <cell r="C24">
            <v>1</v>
          </cell>
          <cell r="D24" t="str">
            <v>not working</v>
          </cell>
          <cell r="E24">
            <v>100</v>
          </cell>
          <cell r="F24">
            <v>5</v>
          </cell>
        </row>
        <row r="25">
          <cell r="B25" t="str">
            <v>Panjani</v>
          </cell>
          <cell r="C25">
            <v>0</v>
          </cell>
          <cell r="D25" t="str">
            <v>not working</v>
          </cell>
          <cell r="E25">
            <v>100</v>
          </cell>
          <cell r="F25">
            <v>5</v>
          </cell>
        </row>
        <row r="26">
          <cell r="B26" t="str">
            <v>Penumur</v>
          </cell>
          <cell r="C26">
            <v>1</v>
          </cell>
          <cell r="D26" t="str">
            <v>not working</v>
          </cell>
          <cell r="E26">
            <v>100</v>
          </cell>
          <cell r="F26">
            <v>5</v>
          </cell>
        </row>
        <row r="27">
          <cell r="B27" t="str">
            <v>Puthalapattu UPS</v>
          </cell>
          <cell r="C27">
            <v>0</v>
          </cell>
          <cell r="D27" t="str">
            <v>not working</v>
          </cell>
          <cell r="E27">
            <v>100</v>
          </cell>
          <cell r="F27">
            <v>5</v>
          </cell>
        </row>
        <row r="28">
          <cell r="B28" t="str">
            <v>Rallabudugur</v>
          </cell>
          <cell r="C28">
            <v>1</v>
          </cell>
          <cell r="D28" t="str">
            <v>not working</v>
          </cell>
          <cell r="E28">
            <v>100</v>
          </cell>
          <cell r="F28">
            <v>5</v>
          </cell>
        </row>
        <row r="29">
          <cell r="B29" t="str">
            <v>Ramakuppam</v>
          </cell>
          <cell r="C29">
            <v>3</v>
          </cell>
          <cell r="D29" t="str">
            <v>not working</v>
          </cell>
          <cell r="E29">
            <v>100</v>
          </cell>
          <cell r="F29">
            <v>5</v>
          </cell>
        </row>
        <row r="30">
          <cell r="B30" t="str">
            <v>Rompicherla</v>
          </cell>
          <cell r="C30">
            <v>3</v>
          </cell>
          <cell r="D30" t="str">
            <v>not working</v>
          </cell>
          <cell r="E30">
            <v>100</v>
          </cell>
          <cell r="F30">
            <v>5</v>
          </cell>
        </row>
        <row r="31">
          <cell r="B31" t="str">
            <v>S.R.Puram</v>
          </cell>
          <cell r="C31">
            <v>1</v>
          </cell>
          <cell r="D31" t="str">
            <v>not working</v>
          </cell>
          <cell r="E31">
            <v>100</v>
          </cell>
          <cell r="F31">
            <v>5</v>
          </cell>
        </row>
        <row r="32">
          <cell r="B32" t="str">
            <v>Thavanampalle</v>
          </cell>
          <cell r="C32">
            <v>0</v>
          </cell>
          <cell r="D32" t="str">
            <v>not working</v>
          </cell>
          <cell r="E32">
            <v>100</v>
          </cell>
          <cell r="F32">
            <v>5</v>
          </cell>
        </row>
        <row r="33">
          <cell r="B33" t="str">
            <v>V.Kota UPS</v>
          </cell>
          <cell r="C33">
            <v>4</v>
          </cell>
          <cell r="D33" t="str">
            <v>not working</v>
          </cell>
          <cell r="E33">
            <v>100</v>
          </cell>
          <cell r="F33">
            <v>5</v>
          </cell>
        </row>
        <row r="34">
          <cell r="B34" t="str">
            <v>Vedurukuppam</v>
          </cell>
          <cell r="C34">
            <v>3</v>
          </cell>
          <cell r="D34" t="str">
            <v>not working</v>
          </cell>
          <cell r="E34">
            <v>100</v>
          </cell>
          <cell r="F34">
            <v>5</v>
          </cell>
        </row>
        <row r="35">
          <cell r="B35" t="str">
            <v>Vijayapuram</v>
          </cell>
          <cell r="C35">
            <v>1</v>
          </cell>
          <cell r="D35" t="str">
            <v>not working</v>
          </cell>
          <cell r="E35">
            <v>100</v>
          </cell>
          <cell r="F35">
            <v>5</v>
          </cell>
        </row>
        <row r="36">
          <cell r="B36" t="str">
            <v>Yadamari</v>
          </cell>
          <cell r="C36">
            <v>1</v>
          </cell>
          <cell r="D36" t="str">
            <v>not working</v>
          </cell>
          <cell r="E36">
            <v>100</v>
          </cell>
          <cell r="F36">
            <v>5</v>
          </cell>
        </row>
        <row r="37">
          <cell r="C37">
            <v>51</v>
          </cell>
          <cell r="D37">
            <v>0</v>
          </cell>
          <cell r="E37">
            <v>100</v>
          </cell>
          <cell r="F37">
            <v>5</v>
          </cell>
        </row>
      </sheetData>
      <sheetData sheetId="11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CCS Chittoor UPS</v>
          </cell>
          <cell r="C3">
            <v>425</v>
          </cell>
          <cell r="D3">
            <v>249</v>
          </cell>
          <cell r="E3">
            <v>176</v>
          </cell>
          <cell r="F3">
            <v>222</v>
          </cell>
          <cell r="G3">
            <v>123</v>
          </cell>
          <cell r="H3">
            <v>176</v>
          </cell>
          <cell r="I3">
            <v>79.27927927927928</v>
          </cell>
          <cell r="J3">
            <v>100</v>
          </cell>
          <cell r="K3">
            <v>85.49549549549549</v>
          </cell>
          <cell r="L3">
            <v>4.2747747747747749</v>
          </cell>
        </row>
        <row r="4">
          <cell r="B4" t="str">
            <v>Bangarupalem UPS</v>
          </cell>
          <cell r="C4">
            <v>109</v>
          </cell>
          <cell r="D4">
            <v>62</v>
          </cell>
          <cell r="E4">
            <v>47</v>
          </cell>
          <cell r="F4">
            <v>58</v>
          </cell>
          <cell r="G4">
            <v>17</v>
          </cell>
          <cell r="H4">
            <v>47</v>
          </cell>
          <cell r="I4">
            <v>81.034482758620683</v>
          </cell>
          <cell r="J4">
            <v>23.214285714285715</v>
          </cell>
          <cell r="K4">
            <v>63.688423645320192</v>
          </cell>
          <cell r="L4">
            <v>3.1844211822660098</v>
          </cell>
        </row>
        <row r="5">
          <cell r="B5" t="str">
            <v>Narsingarayanipet(N.R.Pet)</v>
          </cell>
          <cell r="C5">
            <v>26</v>
          </cell>
          <cell r="D5">
            <v>15</v>
          </cell>
          <cell r="E5">
            <v>11</v>
          </cell>
          <cell r="F5">
            <v>12</v>
          </cell>
          <cell r="G5">
            <v>4</v>
          </cell>
          <cell r="H5">
            <v>11</v>
          </cell>
          <cell r="I5">
            <v>91.666666666666657</v>
          </cell>
          <cell r="J5">
            <v>1.7857142857142858</v>
          </cell>
          <cell r="K5">
            <v>64.702380952380949</v>
          </cell>
          <cell r="L5">
            <v>3.2351190476190474</v>
          </cell>
        </row>
        <row r="6">
          <cell r="B6" t="str">
            <v>Gudipalli</v>
          </cell>
          <cell r="C6">
            <v>98</v>
          </cell>
          <cell r="D6">
            <v>53</v>
          </cell>
          <cell r="E6">
            <v>45</v>
          </cell>
          <cell r="F6">
            <v>58</v>
          </cell>
          <cell r="G6">
            <v>21</v>
          </cell>
          <cell r="H6">
            <v>45</v>
          </cell>
          <cell r="I6">
            <v>77.58620689655173</v>
          </cell>
          <cell r="J6">
            <v>22.023809523809526</v>
          </cell>
          <cell r="K6">
            <v>60.917487684729068</v>
          </cell>
          <cell r="L6">
            <v>3.0458743842364537</v>
          </cell>
        </row>
        <row r="7">
          <cell r="B7" t="str">
            <v>Chittoor I Town UPS</v>
          </cell>
          <cell r="C7">
            <v>736</v>
          </cell>
          <cell r="D7">
            <v>618</v>
          </cell>
          <cell r="E7">
            <v>118</v>
          </cell>
          <cell r="F7">
            <v>313</v>
          </cell>
          <cell r="G7">
            <v>224</v>
          </cell>
          <cell r="H7">
            <v>118</v>
          </cell>
          <cell r="I7">
            <v>37.699680511182109</v>
          </cell>
          <cell r="J7">
            <v>65.476190476190482</v>
          </cell>
          <cell r="K7">
            <v>46.032633500684618</v>
          </cell>
          <cell r="L7">
            <v>2.3016316750342312</v>
          </cell>
        </row>
        <row r="8">
          <cell r="B8" t="str">
            <v>Thavanampalle</v>
          </cell>
          <cell r="C8">
            <v>83</v>
          </cell>
          <cell r="D8">
            <v>56</v>
          </cell>
          <cell r="E8">
            <v>27</v>
          </cell>
          <cell r="F8">
            <v>38</v>
          </cell>
          <cell r="G8">
            <v>16</v>
          </cell>
          <cell r="H8">
            <v>27</v>
          </cell>
          <cell r="I8">
            <v>71.05263157894737</v>
          </cell>
          <cell r="J8">
            <v>11.30952380952381</v>
          </cell>
          <cell r="K8">
            <v>53.129699248120303</v>
          </cell>
          <cell r="L8">
            <v>2.6564849624060152</v>
          </cell>
        </row>
        <row r="9">
          <cell r="B9" t="str">
            <v>Baireddypalle</v>
          </cell>
          <cell r="C9">
            <v>76</v>
          </cell>
          <cell r="D9">
            <v>46</v>
          </cell>
          <cell r="E9">
            <v>30</v>
          </cell>
          <cell r="F9">
            <v>46</v>
          </cell>
          <cell r="G9">
            <v>18</v>
          </cell>
          <cell r="H9">
            <v>30</v>
          </cell>
          <cell r="I9">
            <v>65.217391304347828</v>
          </cell>
          <cell r="J9">
            <v>13.095238095238095</v>
          </cell>
          <cell r="K9">
            <v>49.580745341614907</v>
          </cell>
          <cell r="L9">
            <v>2.4790372670807455</v>
          </cell>
        </row>
        <row r="10">
          <cell r="B10" t="str">
            <v>Gudipala</v>
          </cell>
          <cell r="C10">
            <v>91</v>
          </cell>
          <cell r="D10">
            <v>59</v>
          </cell>
          <cell r="E10">
            <v>32</v>
          </cell>
          <cell r="F10">
            <v>50</v>
          </cell>
          <cell r="G10">
            <v>23</v>
          </cell>
          <cell r="H10">
            <v>32</v>
          </cell>
          <cell r="I10">
            <v>64</v>
          </cell>
          <cell r="J10">
            <v>14.285714285714286</v>
          </cell>
          <cell r="K10">
            <v>49.085714285714282</v>
          </cell>
          <cell r="L10">
            <v>2.4542857142857142</v>
          </cell>
        </row>
        <row r="11">
          <cell r="B11" t="str">
            <v>Vedurukuppam</v>
          </cell>
          <cell r="C11">
            <v>83</v>
          </cell>
          <cell r="D11">
            <v>52</v>
          </cell>
          <cell r="E11">
            <v>31</v>
          </cell>
          <cell r="F11">
            <v>49</v>
          </cell>
          <cell r="G11">
            <v>26</v>
          </cell>
          <cell r="H11">
            <v>31</v>
          </cell>
          <cell r="I11">
            <v>63.265306122448983</v>
          </cell>
          <cell r="J11">
            <v>13.69047619047619</v>
          </cell>
          <cell r="K11">
            <v>48.392857142857139</v>
          </cell>
          <cell r="L11">
            <v>2.4196428571428572</v>
          </cell>
        </row>
        <row r="12">
          <cell r="B12" t="str">
            <v>Irala</v>
          </cell>
          <cell r="C12">
            <v>25</v>
          </cell>
          <cell r="D12">
            <v>15</v>
          </cell>
          <cell r="E12">
            <v>10</v>
          </cell>
          <cell r="F12">
            <v>14</v>
          </cell>
          <cell r="G12">
            <v>6</v>
          </cell>
          <cell r="H12">
            <v>10</v>
          </cell>
          <cell r="I12">
            <v>71.428571428571431</v>
          </cell>
          <cell r="J12">
            <v>1.1904761904761905</v>
          </cell>
          <cell r="K12">
            <v>50.357142857142854</v>
          </cell>
          <cell r="L12">
            <v>2.5178571428571428</v>
          </cell>
        </row>
        <row r="13">
          <cell r="B13" t="str">
            <v>Chittoor Traffic UPS</v>
          </cell>
          <cell r="K13">
            <v>50</v>
          </cell>
          <cell r="L13">
            <v>2.5</v>
          </cell>
        </row>
        <row r="14">
          <cell r="B14" t="str">
            <v>Mahila UPS, Chittoor</v>
          </cell>
          <cell r="K14">
            <v>50</v>
          </cell>
          <cell r="L14">
            <v>2.5</v>
          </cell>
        </row>
        <row r="15">
          <cell r="B15" t="str">
            <v>Kuppam UPS</v>
          </cell>
          <cell r="C15">
            <v>140</v>
          </cell>
          <cell r="D15">
            <v>94</v>
          </cell>
          <cell r="E15">
            <v>46</v>
          </cell>
          <cell r="F15">
            <v>83</v>
          </cell>
          <cell r="G15">
            <v>50</v>
          </cell>
          <cell r="H15">
            <v>46</v>
          </cell>
          <cell r="I15">
            <v>55.421686746987952</v>
          </cell>
          <cell r="J15">
            <v>22.61904761904762</v>
          </cell>
          <cell r="K15">
            <v>45.58089500860585</v>
          </cell>
          <cell r="L15">
            <v>2.2790447504302924</v>
          </cell>
        </row>
        <row r="16">
          <cell r="B16" t="str">
            <v>V.Kota UPS</v>
          </cell>
          <cell r="C16">
            <v>49</v>
          </cell>
          <cell r="D16">
            <v>29</v>
          </cell>
          <cell r="E16">
            <v>20</v>
          </cell>
          <cell r="F16">
            <v>32</v>
          </cell>
          <cell r="G16">
            <v>19</v>
          </cell>
          <cell r="H16">
            <v>20</v>
          </cell>
          <cell r="I16">
            <v>62.5</v>
          </cell>
          <cell r="J16">
            <v>7.1428571428571432</v>
          </cell>
          <cell r="K16">
            <v>45.892857142857146</v>
          </cell>
          <cell r="L16">
            <v>2.2946428571428572</v>
          </cell>
        </row>
        <row r="17">
          <cell r="B17" t="str">
            <v>Chittoor II Town UPS</v>
          </cell>
          <cell r="C17">
            <v>299</v>
          </cell>
          <cell r="D17">
            <v>231</v>
          </cell>
          <cell r="E17">
            <v>68</v>
          </cell>
          <cell r="F17">
            <v>157</v>
          </cell>
          <cell r="G17">
            <v>103</v>
          </cell>
          <cell r="H17">
            <v>68</v>
          </cell>
          <cell r="I17">
            <v>43.312101910828027</v>
          </cell>
          <cell r="J17">
            <v>35.714285714285715</v>
          </cell>
          <cell r="K17">
            <v>41.032757051865332</v>
          </cell>
          <cell r="L17">
            <v>2.0516378525932666</v>
          </cell>
        </row>
        <row r="18">
          <cell r="B18" t="str">
            <v>Rompicherla</v>
          </cell>
          <cell r="C18">
            <v>23</v>
          </cell>
          <cell r="D18">
            <v>14</v>
          </cell>
          <cell r="E18">
            <v>9</v>
          </cell>
          <cell r="F18">
            <v>14</v>
          </cell>
          <cell r="G18">
            <v>7</v>
          </cell>
          <cell r="H18">
            <v>9</v>
          </cell>
          <cell r="I18">
            <v>64.285714285714292</v>
          </cell>
          <cell r="J18">
            <v>0.59523809523809523</v>
          </cell>
          <cell r="K18">
            <v>45.178571428571431</v>
          </cell>
          <cell r="L18">
            <v>2.2589285714285716</v>
          </cell>
        </row>
        <row r="19">
          <cell r="B19" t="str">
            <v>Palamaner UPS</v>
          </cell>
          <cell r="C19">
            <v>312</v>
          </cell>
          <cell r="D19">
            <v>242</v>
          </cell>
          <cell r="E19">
            <v>70</v>
          </cell>
          <cell r="F19">
            <v>175</v>
          </cell>
          <cell r="G19">
            <v>115</v>
          </cell>
          <cell r="H19">
            <v>70</v>
          </cell>
          <cell r="I19">
            <v>40</v>
          </cell>
          <cell r="J19">
            <v>36.904761904761905</v>
          </cell>
          <cell r="K19">
            <v>39.071428571428569</v>
          </cell>
          <cell r="L19">
            <v>1.9535714285714285</v>
          </cell>
        </row>
        <row r="20">
          <cell r="B20" t="str">
            <v>Yadamari</v>
          </cell>
          <cell r="C20">
            <v>76</v>
          </cell>
          <cell r="D20">
            <v>50</v>
          </cell>
          <cell r="E20">
            <v>26</v>
          </cell>
          <cell r="F20">
            <v>47</v>
          </cell>
          <cell r="G20">
            <v>25</v>
          </cell>
          <cell r="H20">
            <v>26</v>
          </cell>
          <cell r="I20">
            <v>55.319148936170215</v>
          </cell>
          <cell r="J20">
            <v>10.714285714285714</v>
          </cell>
          <cell r="K20">
            <v>41.937689969604861</v>
          </cell>
          <cell r="L20">
            <v>2.0968844984802431</v>
          </cell>
        </row>
        <row r="21">
          <cell r="B21" t="str">
            <v>G.D.Nellore UPS</v>
          </cell>
          <cell r="C21">
            <v>102</v>
          </cell>
          <cell r="D21">
            <v>69</v>
          </cell>
          <cell r="E21">
            <v>33</v>
          </cell>
          <cell r="F21">
            <v>63</v>
          </cell>
          <cell r="G21">
            <v>33</v>
          </cell>
          <cell r="H21">
            <v>33</v>
          </cell>
          <cell r="I21">
            <v>52.380952380952387</v>
          </cell>
          <cell r="J21">
            <v>14.880952380952381</v>
          </cell>
          <cell r="K21">
            <v>41.130952380952387</v>
          </cell>
          <cell r="L21">
            <v>2.0565476190476195</v>
          </cell>
        </row>
        <row r="22">
          <cell r="B22" t="str">
            <v>Palasamudram</v>
          </cell>
          <cell r="C22">
            <v>20</v>
          </cell>
          <cell r="D22">
            <v>12</v>
          </cell>
          <cell r="E22">
            <v>8</v>
          </cell>
          <cell r="F22">
            <v>13</v>
          </cell>
          <cell r="G22">
            <v>5</v>
          </cell>
          <cell r="H22">
            <v>8</v>
          </cell>
          <cell r="I22">
            <v>61.53846153846154</v>
          </cell>
          <cell r="J22">
            <v>0</v>
          </cell>
          <cell r="K22">
            <v>43.076923076923073</v>
          </cell>
          <cell r="L22">
            <v>2.1538461538461537</v>
          </cell>
        </row>
        <row r="23">
          <cell r="B23" t="str">
            <v>Kanipakam</v>
          </cell>
          <cell r="C23">
            <v>60</v>
          </cell>
          <cell r="D23">
            <v>44</v>
          </cell>
          <cell r="E23">
            <v>16</v>
          </cell>
          <cell r="F23">
            <v>28</v>
          </cell>
          <cell r="G23">
            <v>15</v>
          </cell>
          <cell r="H23">
            <v>16</v>
          </cell>
          <cell r="I23">
            <v>57.142857142857139</v>
          </cell>
          <cell r="J23">
            <v>4.7619047619047619</v>
          </cell>
          <cell r="K23">
            <v>41.428571428571423</v>
          </cell>
          <cell r="L23">
            <v>2.0714285714285712</v>
          </cell>
        </row>
        <row r="24">
          <cell r="B24" t="str">
            <v>Vijayapuram</v>
          </cell>
          <cell r="C24">
            <v>35</v>
          </cell>
          <cell r="D24">
            <v>22</v>
          </cell>
          <cell r="E24">
            <v>13</v>
          </cell>
          <cell r="F24">
            <v>23</v>
          </cell>
          <cell r="G24">
            <v>10</v>
          </cell>
          <cell r="H24">
            <v>13</v>
          </cell>
          <cell r="I24">
            <v>56.521739130434781</v>
          </cell>
          <cell r="J24">
            <v>2.9761904761904763</v>
          </cell>
          <cell r="K24">
            <v>40.45807453416149</v>
          </cell>
          <cell r="L24">
            <v>2.0229037267080745</v>
          </cell>
        </row>
        <row r="25">
          <cell r="B25" t="str">
            <v>Nagari UPS</v>
          </cell>
          <cell r="C25">
            <v>218</v>
          </cell>
          <cell r="D25">
            <v>167</v>
          </cell>
          <cell r="E25">
            <v>51</v>
          </cell>
          <cell r="F25">
            <v>136</v>
          </cell>
          <cell r="G25">
            <v>92</v>
          </cell>
          <cell r="H25">
            <v>51</v>
          </cell>
          <cell r="I25">
            <v>37.5</v>
          </cell>
          <cell r="J25">
            <v>25.595238095238095</v>
          </cell>
          <cell r="K25">
            <v>33.928571428571431</v>
          </cell>
          <cell r="L25">
            <v>1.6964285714285716</v>
          </cell>
        </row>
        <row r="26">
          <cell r="B26" t="str">
            <v>Penumur</v>
          </cell>
          <cell r="C26">
            <v>32</v>
          </cell>
          <cell r="D26">
            <v>23</v>
          </cell>
          <cell r="E26">
            <v>9</v>
          </cell>
          <cell r="F26">
            <v>17</v>
          </cell>
          <cell r="G26">
            <v>14</v>
          </cell>
          <cell r="H26">
            <v>9</v>
          </cell>
          <cell r="I26">
            <v>52.941176470588239</v>
          </cell>
          <cell r="J26">
            <v>0.59523809523809523</v>
          </cell>
          <cell r="K26">
            <v>37.237394957983199</v>
          </cell>
          <cell r="L26">
            <v>1.8618697478991599</v>
          </cell>
        </row>
        <row r="27">
          <cell r="B27" t="str">
            <v>Rallabudugur</v>
          </cell>
          <cell r="C27">
            <v>27</v>
          </cell>
          <cell r="D27">
            <v>19</v>
          </cell>
          <cell r="E27">
            <v>8</v>
          </cell>
          <cell r="F27">
            <v>16</v>
          </cell>
          <cell r="G27">
            <v>8</v>
          </cell>
          <cell r="H27">
            <v>8</v>
          </cell>
          <cell r="I27">
            <v>50</v>
          </cell>
          <cell r="J27">
            <v>0</v>
          </cell>
          <cell r="K27">
            <v>35</v>
          </cell>
          <cell r="L27">
            <v>1.75</v>
          </cell>
        </row>
        <row r="28">
          <cell r="B28" t="str">
            <v>Nindra</v>
          </cell>
          <cell r="C28">
            <v>52</v>
          </cell>
          <cell r="D28">
            <v>37</v>
          </cell>
          <cell r="E28">
            <v>15</v>
          </cell>
          <cell r="F28">
            <v>34</v>
          </cell>
          <cell r="G28">
            <v>20</v>
          </cell>
          <cell r="H28">
            <v>15</v>
          </cell>
          <cell r="I28">
            <v>44.117647058823529</v>
          </cell>
          <cell r="J28">
            <v>4.166666666666667</v>
          </cell>
          <cell r="K28">
            <v>32.132352941176464</v>
          </cell>
          <cell r="L28">
            <v>1.6066176470588234</v>
          </cell>
        </row>
        <row r="29">
          <cell r="B29" t="str">
            <v>K. Nagar</v>
          </cell>
          <cell r="C29">
            <v>59</v>
          </cell>
          <cell r="D29">
            <v>46</v>
          </cell>
          <cell r="E29">
            <v>13</v>
          </cell>
          <cell r="F29">
            <v>29</v>
          </cell>
          <cell r="G29">
            <v>18</v>
          </cell>
          <cell r="H29">
            <v>13</v>
          </cell>
          <cell r="I29">
            <v>44.827586206896555</v>
          </cell>
          <cell r="J29">
            <v>2.9761904761904763</v>
          </cell>
          <cell r="K29">
            <v>32.272167487684733</v>
          </cell>
          <cell r="L29">
            <v>1.6136083743842367</v>
          </cell>
        </row>
        <row r="30">
          <cell r="B30" t="str">
            <v>S.R.Puram</v>
          </cell>
          <cell r="C30">
            <v>52</v>
          </cell>
          <cell r="D30">
            <v>40</v>
          </cell>
          <cell r="E30">
            <v>12</v>
          </cell>
          <cell r="F30">
            <v>27</v>
          </cell>
          <cell r="G30">
            <v>20</v>
          </cell>
          <cell r="H30">
            <v>12</v>
          </cell>
          <cell r="I30">
            <v>44.444444444444443</v>
          </cell>
          <cell r="J30">
            <v>2.3809523809523809</v>
          </cell>
          <cell r="K30">
            <v>31.825396825396822</v>
          </cell>
          <cell r="L30">
            <v>1.5912698412698412</v>
          </cell>
        </row>
        <row r="31">
          <cell r="B31" t="str">
            <v>Gangavaram UPS</v>
          </cell>
          <cell r="C31">
            <v>68</v>
          </cell>
          <cell r="D31">
            <v>55</v>
          </cell>
          <cell r="E31">
            <v>13</v>
          </cell>
          <cell r="F31">
            <v>34</v>
          </cell>
          <cell r="G31">
            <v>26</v>
          </cell>
          <cell r="H31">
            <v>13</v>
          </cell>
          <cell r="I31">
            <v>38.235294117647058</v>
          </cell>
          <cell r="J31">
            <v>2.9761904761904763</v>
          </cell>
          <cell r="K31">
            <v>27.657563025210081</v>
          </cell>
          <cell r="L31">
            <v>1.3828781512605042</v>
          </cell>
        </row>
        <row r="32">
          <cell r="B32" t="str">
            <v>Panjani</v>
          </cell>
          <cell r="C32">
            <v>91</v>
          </cell>
          <cell r="D32">
            <v>72</v>
          </cell>
          <cell r="E32">
            <v>19</v>
          </cell>
          <cell r="F32">
            <v>53</v>
          </cell>
          <cell r="G32">
            <v>36</v>
          </cell>
          <cell r="H32">
            <v>19</v>
          </cell>
          <cell r="I32">
            <v>35.849056603773583</v>
          </cell>
          <cell r="J32">
            <v>6.5476190476190474</v>
          </cell>
          <cell r="K32">
            <v>27.058625336927221</v>
          </cell>
          <cell r="L32">
            <v>1.3529312668463611</v>
          </cell>
        </row>
        <row r="33">
          <cell r="B33" t="str">
            <v>Chittoor Taluk PS</v>
          </cell>
          <cell r="C33">
            <v>100</v>
          </cell>
          <cell r="D33">
            <v>81</v>
          </cell>
          <cell r="E33">
            <v>19</v>
          </cell>
          <cell r="F33">
            <v>54</v>
          </cell>
          <cell r="G33">
            <v>39</v>
          </cell>
          <cell r="H33">
            <v>19</v>
          </cell>
          <cell r="I33">
            <v>35.185185185185183</v>
          </cell>
          <cell r="J33">
            <v>6.5476190476190474</v>
          </cell>
          <cell r="K33">
            <v>26.593915343915342</v>
          </cell>
          <cell r="L33">
            <v>1.3296957671957672</v>
          </cell>
        </row>
        <row r="34">
          <cell r="B34" t="str">
            <v>Puthalapattu UPS</v>
          </cell>
          <cell r="C34">
            <v>99</v>
          </cell>
          <cell r="D34">
            <v>84</v>
          </cell>
          <cell r="E34">
            <v>15</v>
          </cell>
          <cell r="F34">
            <v>47</v>
          </cell>
          <cell r="G34">
            <v>34</v>
          </cell>
          <cell r="H34">
            <v>15</v>
          </cell>
          <cell r="I34">
            <v>31.914893617021278</v>
          </cell>
          <cell r="J34">
            <v>4.166666666666667</v>
          </cell>
          <cell r="K34">
            <v>23.590425531914892</v>
          </cell>
          <cell r="L34">
            <v>1.1795212765957446</v>
          </cell>
        </row>
        <row r="35">
          <cell r="B35" t="str">
            <v>Ramakuppam</v>
          </cell>
          <cell r="C35">
            <v>68</v>
          </cell>
          <cell r="D35">
            <v>55</v>
          </cell>
          <cell r="E35">
            <v>13</v>
          </cell>
          <cell r="F35">
            <v>41</v>
          </cell>
          <cell r="G35">
            <v>32</v>
          </cell>
          <cell r="H35">
            <v>13</v>
          </cell>
          <cell r="I35">
            <v>31.707317073170731</v>
          </cell>
          <cell r="J35">
            <v>2.9761904761904763</v>
          </cell>
          <cell r="K35">
            <v>23.087979094076655</v>
          </cell>
          <cell r="L35">
            <v>1.1543989547038327</v>
          </cell>
        </row>
        <row r="36">
          <cell r="B36" t="str">
            <v>Kallur</v>
          </cell>
          <cell r="C36">
            <v>52</v>
          </cell>
          <cell r="D36">
            <v>42</v>
          </cell>
          <cell r="E36">
            <v>10</v>
          </cell>
          <cell r="F36">
            <v>32</v>
          </cell>
          <cell r="G36">
            <v>23</v>
          </cell>
          <cell r="H36">
            <v>10</v>
          </cell>
          <cell r="I36">
            <v>31.25</v>
          </cell>
          <cell r="J36">
            <v>1.1904761904761905</v>
          </cell>
          <cell r="K36">
            <v>22.232142857142858</v>
          </cell>
          <cell r="L36">
            <v>1.111607142857143</v>
          </cell>
        </row>
        <row r="37">
          <cell r="C37">
            <v>3786</v>
          </cell>
          <cell r="D37">
            <v>2753</v>
          </cell>
          <cell r="E37">
            <v>1033</v>
          </cell>
          <cell r="F37">
            <v>2015</v>
          </cell>
          <cell r="G37">
            <v>1222</v>
          </cell>
          <cell r="H37">
            <v>1033</v>
          </cell>
          <cell r="I37">
            <v>54.019546231142897</v>
          </cell>
          <cell r="J37">
            <v>14.453125000000005</v>
          </cell>
          <cell r="K37">
            <v>42.61140692875297</v>
          </cell>
          <cell r="L37">
            <v>2.1305703464376484</v>
          </cell>
        </row>
      </sheetData>
      <sheetData sheetId="12">
        <row r="3">
          <cell r="B3" t="str">
            <v>POLICE STATION</v>
          </cell>
          <cell r="C3" t="str">
            <v>60 Days Cases UI&gt;60 Days</v>
          </cell>
          <cell r="D3" t="str">
            <v>90 Days Cases
 UI&gt;90 Days</v>
          </cell>
          <cell r="E3" t="str">
            <v>Total
 UI Cases</v>
          </cell>
          <cell r="F3" t="str">
            <v>No. of cases
 eProc created</v>
          </cell>
          <cell r="G3" t="str">
            <v>Raw Value
if UI = 0 
( 100 points)</v>
          </cell>
          <cell r="H3" t="str">
            <v>Marks</v>
          </cell>
        </row>
        <row r="4">
          <cell r="B4" t="str">
            <v>Baireddypalle</v>
          </cell>
          <cell r="C4" t="str">
            <v>-</v>
          </cell>
          <cell r="D4" t="str">
            <v>-</v>
          </cell>
          <cell r="E4" t="str">
            <v>-</v>
          </cell>
          <cell r="F4">
            <v>2</v>
          </cell>
          <cell r="G4">
            <v>100</v>
          </cell>
          <cell r="H4">
            <v>5</v>
          </cell>
        </row>
        <row r="5">
          <cell r="B5" t="str">
            <v>Bangarupalem UPS</v>
          </cell>
          <cell r="C5" t="str">
            <v>-</v>
          </cell>
          <cell r="D5" t="str">
            <v>-</v>
          </cell>
          <cell r="E5" t="str">
            <v>-</v>
          </cell>
          <cell r="F5">
            <v>2</v>
          </cell>
          <cell r="G5">
            <v>100</v>
          </cell>
          <cell r="H5">
            <v>5</v>
          </cell>
        </row>
        <row r="6">
          <cell r="B6" t="str">
            <v>CCS Chittoor UPS</v>
          </cell>
          <cell r="C6" t="str">
            <v>-</v>
          </cell>
          <cell r="D6" t="str">
            <v>-</v>
          </cell>
          <cell r="E6" t="str">
            <v>-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Chittoor I Town UPS</v>
          </cell>
          <cell r="C7" t="str">
            <v>-</v>
          </cell>
          <cell r="D7" t="str">
            <v>-</v>
          </cell>
          <cell r="E7" t="str">
            <v>-</v>
          </cell>
          <cell r="F7">
            <v>2</v>
          </cell>
          <cell r="G7">
            <v>100</v>
          </cell>
          <cell r="H7">
            <v>5</v>
          </cell>
        </row>
        <row r="8">
          <cell r="B8" t="str">
            <v>Chittoor II Town UPS</v>
          </cell>
          <cell r="C8" t="str">
            <v>-</v>
          </cell>
          <cell r="D8" t="str">
            <v>-</v>
          </cell>
          <cell r="E8" t="str">
            <v>-</v>
          </cell>
          <cell r="F8">
            <v>1</v>
          </cell>
          <cell r="G8">
            <v>100</v>
          </cell>
          <cell r="H8">
            <v>5</v>
          </cell>
        </row>
        <row r="9">
          <cell r="B9" t="str">
            <v>Chittoor Taluk PS</v>
          </cell>
          <cell r="C9" t="str">
            <v>-</v>
          </cell>
          <cell r="D9" t="str">
            <v>-</v>
          </cell>
          <cell r="E9" t="str">
            <v>-</v>
          </cell>
          <cell r="F9">
            <v>1</v>
          </cell>
          <cell r="G9">
            <v>100</v>
          </cell>
          <cell r="H9">
            <v>5</v>
          </cell>
        </row>
        <row r="10">
          <cell r="B10" t="str">
            <v>Chittoor Traffic UPS</v>
          </cell>
          <cell r="C10" t="str">
            <v>-</v>
          </cell>
          <cell r="D10" t="str">
            <v>-</v>
          </cell>
          <cell r="E10" t="str">
            <v>-</v>
          </cell>
          <cell r="F10">
            <v>2</v>
          </cell>
          <cell r="G10">
            <v>100</v>
          </cell>
          <cell r="H10">
            <v>5</v>
          </cell>
        </row>
        <row r="11">
          <cell r="B11" t="str">
            <v>G.D.Nellore UPS</v>
          </cell>
          <cell r="C11" t="str">
            <v>-</v>
          </cell>
          <cell r="D11" t="str">
            <v>-</v>
          </cell>
          <cell r="E11" t="str">
            <v>-</v>
          </cell>
          <cell r="F11">
            <v>1</v>
          </cell>
          <cell r="G11">
            <v>100</v>
          </cell>
          <cell r="H11">
            <v>5</v>
          </cell>
        </row>
        <row r="12">
          <cell r="B12" t="str">
            <v>Gangavaram UPS</v>
          </cell>
          <cell r="C12" t="str">
            <v>-</v>
          </cell>
          <cell r="D12" t="str">
            <v>-</v>
          </cell>
          <cell r="E12" t="str">
            <v>-</v>
          </cell>
          <cell r="F12">
            <v>1</v>
          </cell>
          <cell r="G12">
            <v>100</v>
          </cell>
          <cell r="H12">
            <v>5</v>
          </cell>
        </row>
        <row r="13">
          <cell r="B13" t="str">
            <v>Gudipala</v>
          </cell>
          <cell r="C13" t="str">
            <v>-</v>
          </cell>
          <cell r="D13" t="str">
            <v>-</v>
          </cell>
          <cell r="E13" t="str">
            <v>-</v>
          </cell>
          <cell r="F13">
            <v>1</v>
          </cell>
          <cell r="G13">
            <v>100</v>
          </cell>
          <cell r="H13">
            <v>5</v>
          </cell>
        </row>
        <row r="14">
          <cell r="B14" t="str">
            <v>Gudipalli</v>
          </cell>
          <cell r="C14" t="str">
            <v>-</v>
          </cell>
          <cell r="D14" t="str">
            <v>-</v>
          </cell>
          <cell r="E14" t="str">
            <v>-</v>
          </cell>
          <cell r="F14">
            <v>1</v>
          </cell>
          <cell r="G14">
            <v>100</v>
          </cell>
          <cell r="H14">
            <v>5</v>
          </cell>
        </row>
        <row r="15">
          <cell r="B15" t="str">
            <v>Irala</v>
          </cell>
          <cell r="C15" t="str">
            <v>-</v>
          </cell>
          <cell r="D15" t="str">
            <v>-</v>
          </cell>
          <cell r="E15" t="str">
            <v>-</v>
          </cell>
          <cell r="F15">
            <v>1</v>
          </cell>
          <cell r="G15">
            <v>100</v>
          </cell>
          <cell r="H15">
            <v>5</v>
          </cell>
        </row>
        <row r="16">
          <cell r="B16" t="str">
            <v>K. Nagar</v>
          </cell>
          <cell r="C16" t="str">
            <v>-</v>
          </cell>
          <cell r="D16" t="str">
            <v>-</v>
          </cell>
          <cell r="E16" t="str">
            <v>-</v>
          </cell>
          <cell r="F16">
            <v>1</v>
          </cell>
          <cell r="G16">
            <v>100</v>
          </cell>
          <cell r="H16">
            <v>5</v>
          </cell>
        </row>
        <row r="17">
          <cell r="B17" t="str">
            <v>Kallur</v>
          </cell>
          <cell r="C17" t="str">
            <v>-</v>
          </cell>
          <cell r="D17" t="str">
            <v>-</v>
          </cell>
          <cell r="E17" t="str">
            <v>-</v>
          </cell>
          <cell r="F17">
            <v>1</v>
          </cell>
          <cell r="G17">
            <v>100</v>
          </cell>
          <cell r="H17">
            <v>5</v>
          </cell>
        </row>
        <row r="18">
          <cell r="B18" t="str">
            <v>Kanipakam</v>
          </cell>
          <cell r="C18" t="str">
            <v>-</v>
          </cell>
          <cell r="D18" t="str">
            <v>-</v>
          </cell>
          <cell r="E18" t="str">
            <v>-</v>
          </cell>
          <cell r="F18">
            <v>1</v>
          </cell>
          <cell r="G18">
            <v>100</v>
          </cell>
          <cell r="H18">
            <v>5</v>
          </cell>
        </row>
        <row r="19">
          <cell r="B19" t="str">
            <v>Kuppam UPS</v>
          </cell>
          <cell r="C19" t="str">
            <v>-</v>
          </cell>
          <cell r="D19" t="str">
            <v>-</v>
          </cell>
          <cell r="E19" t="str">
            <v>-</v>
          </cell>
          <cell r="F19">
            <v>3</v>
          </cell>
          <cell r="G19">
            <v>100</v>
          </cell>
          <cell r="H19">
            <v>5</v>
          </cell>
        </row>
        <row r="20">
          <cell r="B20" t="str">
            <v>Mahila UPS, Chittoor</v>
          </cell>
          <cell r="C20" t="str">
            <v>-</v>
          </cell>
          <cell r="D20" t="str">
            <v>-</v>
          </cell>
          <cell r="E20" t="str">
            <v>-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Nagari UPS</v>
          </cell>
          <cell r="C21" t="str">
            <v>-</v>
          </cell>
          <cell r="D21" t="str">
            <v>-</v>
          </cell>
          <cell r="E21" t="str">
            <v>-</v>
          </cell>
          <cell r="F21">
            <v>1</v>
          </cell>
          <cell r="G21">
            <v>100</v>
          </cell>
          <cell r="H21">
            <v>5</v>
          </cell>
        </row>
        <row r="22">
          <cell r="B22" t="str">
            <v>Narsingarayanipet(N.R.Pet)</v>
          </cell>
          <cell r="C22" t="str">
            <v>-</v>
          </cell>
          <cell r="D22" t="str">
            <v>-</v>
          </cell>
          <cell r="E22" t="str">
            <v>-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Nindra</v>
          </cell>
          <cell r="C23" t="str">
            <v>-</v>
          </cell>
          <cell r="D23" t="str">
            <v>-</v>
          </cell>
          <cell r="E23" t="str">
            <v>-</v>
          </cell>
          <cell r="F23">
            <v>1</v>
          </cell>
          <cell r="G23">
            <v>100</v>
          </cell>
          <cell r="H23">
            <v>5</v>
          </cell>
        </row>
        <row r="24">
          <cell r="B24" t="str">
            <v>Palamaner UPS</v>
          </cell>
          <cell r="C24" t="str">
            <v>-</v>
          </cell>
          <cell r="D24" t="str">
            <v>-</v>
          </cell>
          <cell r="E24" t="str">
            <v>-</v>
          </cell>
          <cell r="F24">
            <v>1</v>
          </cell>
          <cell r="G24">
            <v>100</v>
          </cell>
          <cell r="H24">
            <v>5</v>
          </cell>
        </row>
        <row r="25">
          <cell r="B25" t="str">
            <v>Palasamudram</v>
          </cell>
          <cell r="C25" t="str">
            <v>-</v>
          </cell>
          <cell r="D25" t="str">
            <v>-</v>
          </cell>
          <cell r="E25" t="str">
            <v>-</v>
          </cell>
          <cell r="F25">
            <v>1</v>
          </cell>
          <cell r="G25">
            <v>100</v>
          </cell>
          <cell r="H25">
            <v>5</v>
          </cell>
        </row>
        <row r="26">
          <cell r="B26" t="str">
            <v>Panjani</v>
          </cell>
          <cell r="C26" t="str">
            <v>-</v>
          </cell>
          <cell r="D26" t="str">
            <v>-</v>
          </cell>
          <cell r="E26" t="str">
            <v>-</v>
          </cell>
          <cell r="F26">
            <v>1</v>
          </cell>
          <cell r="G26">
            <v>100</v>
          </cell>
          <cell r="H26">
            <v>5</v>
          </cell>
        </row>
        <row r="27">
          <cell r="B27" t="str">
            <v>Penumur</v>
          </cell>
          <cell r="C27" t="str">
            <v>-</v>
          </cell>
          <cell r="D27" t="str">
            <v>-</v>
          </cell>
          <cell r="E27" t="str">
            <v>-</v>
          </cell>
          <cell r="F27">
            <v>1</v>
          </cell>
          <cell r="G27">
            <v>100</v>
          </cell>
          <cell r="H27">
            <v>5</v>
          </cell>
        </row>
        <row r="28">
          <cell r="B28" t="str">
            <v>Puthalapattu UPS</v>
          </cell>
          <cell r="C28" t="str">
            <v>-</v>
          </cell>
          <cell r="D28" t="str">
            <v>-</v>
          </cell>
          <cell r="E28" t="str">
            <v>-</v>
          </cell>
          <cell r="F28">
            <v>1</v>
          </cell>
          <cell r="G28">
            <v>100</v>
          </cell>
          <cell r="H28">
            <v>5</v>
          </cell>
        </row>
        <row r="29">
          <cell r="B29" t="str">
            <v>Rallabudugur</v>
          </cell>
          <cell r="C29" t="str">
            <v>-</v>
          </cell>
          <cell r="D29" t="str">
            <v>-</v>
          </cell>
          <cell r="E29" t="str">
            <v>-</v>
          </cell>
          <cell r="F29">
            <v>2</v>
          </cell>
          <cell r="G29">
            <v>100</v>
          </cell>
          <cell r="H29">
            <v>5</v>
          </cell>
        </row>
        <row r="30">
          <cell r="B30" t="str">
            <v>Ramakuppam</v>
          </cell>
          <cell r="C30" t="str">
            <v>-</v>
          </cell>
          <cell r="D30" t="str">
            <v>-</v>
          </cell>
          <cell r="E30" t="str">
            <v>-</v>
          </cell>
          <cell r="F30">
            <v>1</v>
          </cell>
          <cell r="G30">
            <v>100</v>
          </cell>
          <cell r="H30">
            <v>5</v>
          </cell>
        </row>
        <row r="31">
          <cell r="B31" t="str">
            <v>Rompicherla</v>
          </cell>
          <cell r="C31" t="str">
            <v>-</v>
          </cell>
          <cell r="D31" t="str">
            <v>-</v>
          </cell>
          <cell r="E31" t="str">
            <v>-</v>
          </cell>
          <cell r="F31">
            <v>1</v>
          </cell>
          <cell r="G31">
            <v>100</v>
          </cell>
          <cell r="H31">
            <v>5</v>
          </cell>
        </row>
        <row r="32">
          <cell r="B32" t="str">
            <v>S.R.Puram</v>
          </cell>
          <cell r="C32" t="str">
            <v>-</v>
          </cell>
          <cell r="D32" t="str">
            <v>-</v>
          </cell>
          <cell r="E32" t="str">
            <v>-</v>
          </cell>
          <cell r="F32">
            <v>1</v>
          </cell>
          <cell r="G32">
            <v>100</v>
          </cell>
          <cell r="H32">
            <v>5</v>
          </cell>
        </row>
        <row r="33">
          <cell r="B33" t="str">
            <v>Thavanampalle</v>
          </cell>
          <cell r="C33" t="str">
            <v>-</v>
          </cell>
          <cell r="D33" t="str">
            <v>-</v>
          </cell>
          <cell r="E33" t="str">
            <v>-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V.Kota UPS</v>
          </cell>
          <cell r="C34" t="str">
            <v>-</v>
          </cell>
          <cell r="D34" t="str">
            <v>-</v>
          </cell>
          <cell r="E34" t="str">
            <v>-</v>
          </cell>
          <cell r="F34">
            <v>1</v>
          </cell>
          <cell r="G34">
            <v>100</v>
          </cell>
          <cell r="H34">
            <v>5</v>
          </cell>
        </row>
        <row r="35">
          <cell r="B35" t="str">
            <v>Vedurukuppam</v>
          </cell>
          <cell r="C35" t="str">
            <v>-</v>
          </cell>
          <cell r="D35" t="str">
            <v>-</v>
          </cell>
          <cell r="E35" t="str">
            <v>-</v>
          </cell>
          <cell r="F35">
            <v>1</v>
          </cell>
          <cell r="G35">
            <v>100</v>
          </cell>
          <cell r="H35">
            <v>5</v>
          </cell>
        </row>
        <row r="36">
          <cell r="B36" t="str">
            <v>Vijayapuram</v>
          </cell>
          <cell r="C36" t="str">
            <v>-</v>
          </cell>
          <cell r="D36" t="str">
            <v>-</v>
          </cell>
          <cell r="E36" t="str">
            <v>-</v>
          </cell>
          <cell r="F36">
            <v>1</v>
          </cell>
          <cell r="G36">
            <v>100</v>
          </cell>
          <cell r="H36">
            <v>5</v>
          </cell>
        </row>
        <row r="37">
          <cell r="B37" t="str">
            <v>Yadamari</v>
          </cell>
          <cell r="C37" t="str">
            <v>-</v>
          </cell>
          <cell r="D37" t="str">
            <v>-</v>
          </cell>
          <cell r="E37" t="str">
            <v>-</v>
          </cell>
          <cell r="F37">
            <v>1</v>
          </cell>
          <cell r="G37">
            <v>100</v>
          </cell>
          <cell r="H37">
            <v>5</v>
          </cell>
        </row>
      </sheetData>
      <sheetData sheetId="13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Baireddypalle</v>
          </cell>
          <cell r="C3">
            <v>166</v>
          </cell>
          <cell r="D3">
            <v>166</v>
          </cell>
          <cell r="E3">
            <v>100</v>
          </cell>
          <cell r="F3">
            <v>2.5</v>
          </cell>
          <cell r="G3">
            <v>1</v>
          </cell>
          <cell r="H3">
            <v>1</v>
          </cell>
          <cell r="I3">
            <v>100</v>
          </cell>
          <cell r="J3">
            <v>2.5</v>
          </cell>
          <cell r="K3">
            <v>5</v>
          </cell>
          <cell r="L3">
            <v>100</v>
          </cell>
        </row>
        <row r="4">
          <cell r="B4" t="str">
            <v>Bangarupalem UPS</v>
          </cell>
          <cell r="C4">
            <v>343</v>
          </cell>
          <cell r="D4">
            <v>260</v>
          </cell>
          <cell r="E4">
            <v>75.801749271137027</v>
          </cell>
          <cell r="F4">
            <v>1.8950437317784257</v>
          </cell>
          <cell r="G4">
            <v>105</v>
          </cell>
          <cell r="H4">
            <v>105</v>
          </cell>
          <cell r="I4">
            <v>100</v>
          </cell>
          <cell r="J4">
            <v>2.5</v>
          </cell>
          <cell r="K4">
            <v>4.3950437317784257</v>
          </cell>
          <cell r="L4">
            <v>87.900874635568513</v>
          </cell>
        </row>
        <row r="5">
          <cell r="B5" t="str">
            <v>CCS Chittoor UPS</v>
          </cell>
          <cell r="C5">
            <v>4</v>
          </cell>
          <cell r="D5">
            <v>4</v>
          </cell>
          <cell r="E5">
            <v>100</v>
          </cell>
          <cell r="F5">
            <v>2.5</v>
          </cell>
          <cell r="G5">
            <v>108</v>
          </cell>
          <cell r="H5">
            <v>108</v>
          </cell>
          <cell r="I5">
            <v>100</v>
          </cell>
          <cell r="J5">
            <v>2.5</v>
          </cell>
          <cell r="K5">
            <v>5</v>
          </cell>
          <cell r="L5">
            <v>100</v>
          </cell>
        </row>
        <row r="6">
          <cell r="B6" t="str">
            <v>Chittoor I Town UPS</v>
          </cell>
          <cell r="C6">
            <v>208</v>
          </cell>
          <cell r="D6">
            <v>208</v>
          </cell>
          <cell r="E6">
            <v>100</v>
          </cell>
          <cell r="F6">
            <v>2.5</v>
          </cell>
          <cell r="G6">
            <v>118</v>
          </cell>
          <cell r="H6">
            <v>118</v>
          </cell>
          <cell r="I6">
            <v>100</v>
          </cell>
          <cell r="J6">
            <v>2.5</v>
          </cell>
          <cell r="K6">
            <v>5</v>
          </cell>
          <cell r="L6">
            <v>100</v>
          </cell>
        </row>
        <row r="7">
          <cell r="B7" t="str">
            <v>Chittoor II Town UPS</v>
          </cell>
          <cell r="C7">
            <v>205</v>
          </cell>
          <cell r="D7">
            <v>205</v>
          </cell>
          <cell r="E7">
            <v>100</v>
          </cell>
          <cell r="F7">
            <v>2.5</v>
          </cell>
          <cell r="G7">
            <v>58</v>
          </cell>
          <cell r="H7">
            <v>58</v>
          </cell>
          <cell r="I7">
            <v>100</v>
          </cell>
          <cell r="J7">
            <v>2.5</v>
          </cell>
          <cell r="K7">
            <v>5</v>
          </cell>
          <cell r="L7">
            <v>100</v>
          </cell>
        </row>
        <row r="8">
          <cell r="B8" t="str">
            <v>Chittoor Taluk PS</v>
          </cell>
          <cell r="C8">
            <v>186</v>
          </cell>
          <cell r="D8">
            <v>185</v>
          </cell>
          <cell r="E8">
            <v>99.462365591397855</v>
          </cell>
          <cell r="F8">
            <v>2.4865591397849465</v>
          </cell>
          <cell r="G8">
            <v>87</v>
          </cell>
          <cell r="H8">
            <v>87</v>
          </cell>
          <cell r="I8">
            <v>100</v>
          </cell>
          <cell r="J8">
            <v>2.5</v>
          </cell>
          <cell r="K8">
            <v>4.986559139784946</v>
          </cell>
          <cell r="L8">
            <v>99.731182795698928</v>
          </cell>
        </row>
        <row r="9">
          <cell r="B9" t="str">
            <v>Chittoor Traffic UPS</v>
          </cell>
          <cell r="C9">
            <v>138</v>
          </cell>
          <cell r="D9">
            <v>138</v>
          </cell>
          <cell r="E9">
            <v>100</v>
          </cell>
          <cell r="F9">
            <v>2.5</v>
          </cell>
          <cell r="G9">
            <v>122</v>
          </cell>
          <cell r="H9">
            <v>122</v>
          </cell>
          <cell r="I9">
            <v>100</v>
          </cell>
          <cell r="J9">
            <v>2.5</v>
          </cell>
          <cell r="K9">
            <v>5</v>
          </cell>
          <cell r="L9">
            <v>100</v>
          </cell>
        </row>
        <row r="10">
          <cell r="B10" t="str">
            <v>G.D.Nellore UPS</v>
          </cell>
          <cell r="C10">
            <v>248</v>
          </cell>
          <cell r="D10">
            <v>248</v>
          </cell>
          <cell r="E10">
            <v>100</v>
          </cell>
          <cell r="F10">
            <v>2.5</v>
          </cell>
          <cell r="G10">
            <v>50</v>
          </cell>
          <cell r="H10">
            <v>49</v>
          </cell>
          <cell r="I10">
            <v>98</v>
          </cell>
          <cell r="J10">
            <v>2.4500000000000002</v>
          </cell>
          <cell r="K10">
            <v>4.95</v>
          </cell>
          <cell r="L10">
            <v>99</v>
          </cell>
        </row>
        <row r="11">
          <cell r="B11" t="str">
            <v>Gangavaram UPS</v>
          </cell>
          <cell r="C11">
            <v>313</v>
          </cell>
          <cell r="D11">
            <v>313</v>
          </cell>
          <cell r="E11">
            <v>100</v>
          </cell>
          <cell r="F11">
            <v>2.5</v>
          </cell>
          <cell r="G11">
            <v>115</v>
          </cell>
          <cell r="H11">
            <v>115</v>
          </cell>
          <cell r="I11">
            <v>100</v>
          </cell>
          <cell r="J11">
            <v>2.5</v>
          </cell>
          <cell r="K11">
            <v>5</v>
          </cell>
          <cell r="L11">
            <v>100</v>
          </cell>
        </row>
        <row r="12">
          <cell r="B12" t="str">
            <v>Gudipala</v>
          </cell>
          <cell r="C12">
            <v>186</v>
          </cell>
          <cell r="D12">
            <v>184</v>
          </cell>
          <cell r="E12">
            <v>98.924731182795696</v>
          </cell>
          <cell r="F12">
            <v>2.4731182795698925</v>
          </cell>
          <cell r="G12">
            <v>158</v>
          </cell>
          <cell r="H12">
            <v>158</v>
          </cell>
          <cell r="I12">
            <v>100</v>
          </cell>
          <cell r="J12">
            <v>2.5</v>
          </cell>
          <cell r="K12">
            <v>4.9731182795698921</v>
          </cell>
          <cell r="L12">
            <v>99.462365591397855</v>
          </cell>
        </row>
        <row r="13">
          <cell r="B13" t="str">
            <v>Gudipalli</v>
          </cell>
          <cell r="C13">
            <v>117</v>
          </cell>
          <cell r="D13">
            <v>114</v>
          </cell>
          <cell r="E13">
            <v>97.435897435897431</v>
          </cell>
          <cell r="F13">
            <v>2.4358974358974361</v>
          </cell>
          <cell r="G13">
            <v>147</v>
          </cell>
          <cell r="H13">
            <v>147</v>
          </cell>
          <cell r="I13">
            <v>100</v>
          </cell>
          <cell r="J13">
            <v>2.5</v>
          </cell>
          <cell r="K13">
            <v>4.9358974358974361</v>
          </cell>
          <cell r="L13">
            <v>98.717948717948715</v>
          </cell>
        </row>
        <row r="14">
          <cell r="B14" t="str">
            <v>Irala</v>
          </cell>
          <cell r="C14">
            <v>119</v>
          </cell>
          <cell r="D14">
            <v>119</v>
          </cell>
          <cell r="E14">
            <v>100</v>
          </cell>
          <cell r="F14">
            <v>2.5</v>
          </cell>
          <cell r="G14">
            <v>131</v>
          </cell>
          <cell r="H14">
            <v>131</v>
          </cell>
          <cell r="I14">
            <v>100</v>
          </cell>
          <cell r="J14">
            <v>2.5</v>
          </cell>
          <cell r="K14">
            <v>5</v>
          </cell>
          <cell r="L14">
            <v>100</v>
          </cell>
        </row>
        <row r="15">
          <cell r="B15" t="str">
            <v>K. Nagar</v>
          </cell>
          <cell r="C15">
            <v>211</v>
          </cell>
          <cell r="D15">
            <v>209</v>
          </cell>
          <cell r="E15">
            <v>99.052132701421797</v>
          </cell>
          <cell r="F15">
            <v>2.4763033175355451</v>
          </cell>
          <cell r="G15">
            <v>78</v>
          </cell>
          <cell r="H15">
            <v>78</v>
          </cell>
          <cell r="I15">
            <v>100</v>
          </cell>
          <cell r="J15">
            <v>2.5</v>
          </cell>
          <cell r="K15">
            <v>4.9763033175355451</v>
          </cell>
          <cell r="L15">
            <v>99.526066350710892</v>
          </cell>
        </row>
        <row r="16">
          <cell r="B16" t="str">
            <v>Kallur</v>
          </cell>
          <cell r="C16">
            <v>157</v>
          </cell>
          <cell r="D16">
            <v>156</v>
          </cell>
          <cell r="E16">
            <v>99.363057324840767</v>
          </cell>
          <cell r="F16">
            <v>2.4840764331210194</v>
          </cell>
          <cell r="G16">
            <v>134</v>
          </cell>
          <cell r="H16">
            <v>134</v>
          </cell>
          <cell r="I16">
            <v>100</v>
          </cell>
          <cell r="J16">
            <v>2.5</v>
          </cell>
          <cell r="K16">
            <v>4.9840764331210199</v>
          </cell>
          <cell r="L16">
            <v>99.681528662420391</v>
          </cell>
        </row>
        <row r="17">
          <cell r="B17" t="str">
            <v>Kanipakam</v>
          </cell>
          <cell r="C17">
            <v>95</v>
          </cell>
          <cell r="D17">
            <v>95</v>
          </cell>
          <cell r="E17">
            <v>100</v>
          </cell>
          <cell r="F17">
            <v>2.5</v>
          </cell>
          <cell r="G17">
            <v>115</v>
          </cell>
          <cell r="H17">
            <v>115</v>
          </cell>
          <cell r="I17">
            <v>100</v>
          </cell>
          <cell r="J17">
            <v>2.5</v>
          </cell>
          <cell r="K17">
            <v>5</v>
          </cell>
          <cell r="L17">
            <v>100</v>
          </cell>
        </row>
        <row r="18">
          <cell r="B18" t="str">
            <v>Kuppam UPS</v>
          </cell>
          <cell r="C18">
            <v>409</v>
          </cell>
          <cell r="D18">
            <v>405</v>
          </cell>
          <cell r="E18">
            <v>99.022004889975548</v>
          </cell>
          <cell r="F18">
            <v>2.475550122249389</v>
          </cell>
          <cell r="G18">
            <v>123</v>
          </cell>
          <cell r="H18">
            <v>106</v>
          </cell>
          <cell r="I18">
            <v>86.17886178861788</v>
          </cell>
          <cell r="J18">
            <v>2.154471544715447</v>
          </cell>
          <cell r="K18">
            <v>4.6300216669648364</v>
          </cell>
          <cell r="L18">
            <v>92.600433339296714</v>
          </cell>
        </row>
        <row r="19">
          <cell r="B19" t="str">
            <v>Mahila UPS, Chittoor</v>
          </cell>
          <cell r="C19">
            <v>117</v>
          </cell>
          <cell r="D19">
            <v>116</v>
          </cell>
          <cell r="E19">
            <v>99.145299145299148</v>
          </cell>
          <cell r="F19">
            <v>2.4786324786324787</v>
          </cell>
          <cell r="G19">
            <v>268</v>
          </cell>
          <cell r="H19">
            <v>257</v>
          </cell>
          <cell r="I19">
            <v>95.895522388059703</v>
          </cell>
          <cell r="J19">
            <v>2.3973880597014925</v>
          </cell>
          <cell r="K19">
            <v>4.8760205383339716</v>
          </cell>
          <cell r="L19">
            <v>97.520410766679419</v>
          </cell>
        </row>
        <row r="20">
          <cell r="B20" t="str">
            <v>Nagari UPS</v>
          </cell>
          <cell r="C20">
            <v>271</v>
          </cell>
          <cell r="D20">
            <v>271</v>
          </cell>
          <cell r="E20">
            <v>100</v>
          </cell>
          <cell r="F20">
            <v>2.5</v>
          </cell>
          <cell r="G20">
            <v>1</v>
          </cell>
          <cell r="H20">
            <v>1</v>
          </cell>
          <cell r="I20">
            <v>100</v>
          </cell>
          <cell r="J20">
            <v>2.5</v>
          </cell>
          <cell r="K20">
            <v>5</v>
          </cell>
          <cell r="L20">
            <v>100</v>
          </cell>
        </row>
        <row r="21">
          <cell r="B21" t="str">
            <v>Narsingarayanipet(N.R.Pet)</v>
          </cell>
          <cell r="C21">
            <v>74</v>
          </cell>
          <cell r="D21">
            <v>73</v>
          </cell>
          <cell r="E21">
            <v>98.648648648648646</v>
          </cell>
          <cell r="F21">
            <v>2.4662162162162162</v>
          </cell>
          <cell r="G21">
            <v>103</v>
          </cell>
          <cell r="H21">
            <v>103</v>
          </cell>
          <cell r="I21">
            <v>100</v>
          </cell>
          <cell r="J21">
            <v>2.5</v>
          </cell>
          <cell r="K21">
            <v>4.9662162162162158</v>
          </cell>
          <cell r="L21">
            <v>99.324324324324323</v>
          </cell>
        </row>
        <row r="22">
          <cell r="B22" t="str">
            <v>Nindra</v>
          </cell>
          <cell r="C22">
            <v>96</v>
          </cell>
          <cell r="D22">
            <v>96</v>
          </cell>
          <cell r="E22">
            <v>100</v>
          </cell>
          <cell r="F22">
            <v>2.5</v>
          </cell>
          <cell r="G22">
            <v>130</v>
          </cell>
          <cell r="H22">
            <v>130</v>
          </cell>
          <cell r="I22">
            <v>100</v>
          </cell>
          <cell r="J22">
            <v>2.5</v>
          </cell>
          <cell r="K22">
            <v>5</v>
          </cell>
          <cell r="L22">
            <v>100</v>
          </cell>
        </row>
        <row r="23">
          <cell r="B23" t="str">
            <v>Palamaner UPS</v>
          </cell>
          <cell r="C23">
            <v>398</v>
          </cell>
          <cell r="D23">
            <v>397</v>
          </cell>
          <cell r="E23">
            <v>99.748743718592962</v>
          </cell>
          <cell r="F23">
            <v>2.4937185929648242</v>
          </cell>
          <cell r="G23">
            <v>115</v>
          </cell>
          <cell r="H23">
            <v>115</v>
          </cell>
          <cell r="I23">
            <v>100</v>
          </cell>
          <cell r="J23">
            <v>2.5</v>
          </cell>
          <cell r="K23">
            <v>4.9937185929648242</v>
          </cell>
          <cell r="L23">
            <v>99.874371859296474</v>
          </cell>
        </row>
        <row r="24">
          <cell r="B24" t="str">
            <v>Palasamudram</v>
          </cell>
          <cell r="C24">
            <v>74</v>
          </cell>
          <cell r="D24">
            <v>74</v>
          </cell>
          <cell r="E24">
            <v>100</v>
          </cell>
          <cell r="F24">
            <v>2.5</v>
          </cell>
          <cell r="G24">
            <v>108</v>
          </cell>
          <cell r="H24">
            <v>108</v>
          </cell>
          <cell r="I24">
            <v>100</v>
          </cell>
          <cell r="J24">
            <v>2.5</v>
          </cell>
          <cell r="K24">
            <v>5</v>
          </cell>
          <cell r="L24">
            <v>100</v>
          </cell>
        </row>
        <row r="25">
          <cell r="B25" t="str">
            <v>Panjani</v>
          </cell>
          <cell r="C25">
            <v>211</v>
          </cell>
          <cell r="D25">
            <v>149</v>
          </cell>
          <cell r="E25">
            <v>70.616113744075832</v>
          </cell>
          <cell r="F25">
            <v>1.7654028436018958</v>
          </cell>
          <cell r="G25">
            <v>158</v>
          </cell>
          <cell r="H25">
            <v>158</v>
          </cell>
          <cell r="I25">
            <v>100</v>
          </cell>
          <cell r="J25">
            <v>2.5</v>
          </cell>
          <cell r="K25">
            <v>4.2654028436018958</v>
          </cell>
          <cell r="L25">
            <v>85.308056872037923</v>
          </cell>
        </row>
        <row r="26">
          <cell r="B26" t="str">
            <v>Penumur</v>
          </cell>
          <cell r="C26">
            <v>149</v>
          </cell>
          <cell r="D26">
            <v>148</v>
          </cell>
          <cell r="E26">
            <v>99.328859060402678</v>
          </cell>
          <cell r="F26">
            <v>2.4832214765100673</v>
          </cell>
          <cell r="G26">
            <v>234</v>
          </cell>
          <cell r="H26">
            <v>209</v>
          </cell>
          <cell r="I26">
            <v>89.316239316239319</v>
          </cell>
          <cell r="J26">
            <v>2.232905982905983</v>
          </cell>
          <cell r="K26">
            <v>4.7161274594160503</v>
          </cell>
          <cell r="L26">
            <v>94.322549188321005</v>
          </cell>
        </row>
        <row r="27">
          <cell r="B27" t="str">
            <v>Puthalapattu UPS</v>
          </cell>
          <cell r="C27">
            <v>195</v>
          </cell>
          <cell r="D27">
            <v>193</v>
          </cell>
          <cell r="E27">
            <v>98.974358974358978</v>
          </cell>
          <cell r="F27">
            <v>2.4743589743589745</v>
          </cell>
          <cell r="G27">
            <v>131</v>
          </cell>
          <cell r="H27">
            <v>131</v>
          </cell>
          <cell r="I27">
            <v>100</v>
          </cell>
          <cell r="J27">
            <v>2.5</v>
          </cell>
          <cell r="K27">
            <v>4.9743589743589745</v>
          </cell>
          <cell r="L27">
            <v>99.487179487179489</v>
          </cell>
        </row>
        <row r="28">
          <cell r="B28" t="str">
            <v>Rallabudugur</v>
          </cell>
          <cell r="C28">
            <v>200</v>
          </cell>
          <cell r="D28">
            <v>167</v>
          </cell>
          <cell r="E28">
            <v>83.5</v>
          </cell>
          <cell r="F28">
            <v>2.0874999999999999</v>
          </cell>
          <cell r="G28">
            <v>93</v>
          </cell>
          <cell r="H28">
            <v>70</v>
          </cell>
          <cell r="I28">
            <v>75.268817204301072</v>
          </cell>
          <cell r="J28">
            <v>1.881720430107527</v>
          </cell>
          <cell r="K28">
            <v>3.9692204301075269</v>
          </cell>
          <cell r="L28">
            <v>79.384408602150529</v>
          </cell>
        </row>
        <row r="29">
          <cell r="B29" t="str">
            <v>Ramakuppam</v>
          </cell>
          <cell r="C29">
            <v>124</v>
          </cell>
          <cell r="D29">
            <v>116</v>
          </cell>
          <cell r="E29">
            <v>93.548387096774192</v>
          </cell>
          <cell r="F29">
            <v>2.338709677419355</v>
          </cell>
          <cell r="G29">
            <v>87</v>
          </cell>
          <cell r="H29">
            <v>87</v>
          </cell>
          <cell r="I29">
            <v>100</v>
          </cell>
          <cell r="J29">
            <v>2.5</v>
          </cell>
          <cell r="K29">
            <v>4.838709677419355</v>
          </cell>
          <cell r="L29">
            <v>96.774193548387103</v>
          </cell>
        </row>
        <row r="30">
          <cell r="B30" t="str">
            <v>Rompicherla</v>
          </cell>
          <cell r="C30">
            <v>70</v>
          </cell>
          <cell r="D30">
            <v>68</v>
          </cell>
          <cell r="E30">
            <v>97.142857142857139</v>
          </cell>
          <cell r="F30">
            <v>2.4285714285714288</v>
          </cell>
          <cell r="G30">
            <v>147</v>
          </cell>
          <cell r="H30">
            <v>147</v>
          </cell>
          <cell r="I30">
            <v>100</v>
          </cell>
          <cell r="J30">
            <v>2.5</v>
          </cell>
          <cell r="K30">
            <v>4.9285714285714288</v>
          </cell>
          <cell r="L30">
            <v>98.571428571428569</v>
          </cell>
        </row>
        <row r="31">
          <cell r="B31" t="str">
            <v>S.R.Puram</v>
          </cell>
          <cell r="C31">
            <v>216</v>
          </cell>
          <cell r="D31">
            <v>215</v>
          </cell>
          <cell r="E31">
            <v>99.537037037037038</v>
          </cell>
          <cell r="F31">
            <v>2.488425925925926</v>
          </cell>
          <cell r="G31">
            <v>122</v>
          </cell>
          <cell r="H31">
            <v>122</v>
          </cell>
          <cell r="I31">
            <v>100</v>
          </cell>
          <cell r="J31">
            <v>2.5</v>
          </cell>
          <cell r="K31">
            <v>4.9884259259259256</v>
          </cell>
          <cell r="L31">
            <v>99.768518518518519</v>
          </cell>
        </row>
        <row r="32">
          <cell r="B32" t="str">
            <v>Thavanampalle</v>
          </cell>
          <cell r="C32">
            <v>120</v>
          </cell>
          <cell r="D32">
            <v>120</v>
          </cell>
          <cell r="E32">
            <v>100</v>
          </cell>
          <cell r="F32">
            <v>2.5</v>
          </cell>
          <cell r="G32">
            <v>78</v>
          </cell>
          <cell r="H32">
            <v>78</v>
          </cell>
          <cell r="I32">
            <v>100</v>
          </cell>
          <cell r="J32">
            <v>2.5</v>
          </cell>
          <cell r="K32">
            <v>5</v>
          </cell>
          <cell r="L32">
            <v>100</v>
          </cell>
        </row>
        <row r="33">
          <cell r="B33" t="str">
            <v>V.Kota UPS</v>
          </cell>
          <cell r="C33">
            <v>354</v>
          </cell>
          <cell r="D33">
            <v>353</v>
          </cell>
          <cell r="E33">
            <v>99.717514124293785</v>
          </cell>
          <cell r="F33">
            <v>2.4929378531073447</v>
          </cell>
          <cell r="G33">
            <v>258</v>
          </cell>
          <cell r="H33">
            <v>183</v>
          </cell>
          <cell r="I33">
            <v>70.930232558139537</v>
          </cell>
          <cell r="J33">
            <v>1.7732558139534884</v>
          </cell>
          <cell r="K33">
            <v>4.2661936670608327</v>
          </cell>
          <cell r="L33">
            <v>85.323873341216654</v>
          </cell>
        </row>
        <row r="34">
          <cell r="B34" t="str">
            <v>Vedurukuppam</v>
          </cell>
          <cell r="C34">
            <v>243</v>
          </cell>
          <cell r="D34">
            <v>241</v>
          </cell>
          <cell r="E34">
            <v>99.176954732510282</v>
          </cell>
          <cell r="F34">
            <v>2.4794238683127574</v>
          </cell>
          <cell r="G34">
            <v>105</v>
          </cell>
          <cell r="H34">
            <v>105</v>
          </cell>
          <cell r="I34">
            <v>100</v>
          </cell>
          <cell r="J34">
            <v>2.5</v>
          </cell>
          <cell r="K34">
            <v>4.9794238683127574</v>
          </cell>
          <cell r="L34">
            <v>99.588477366255148</v>
          </cell>
        </row>
        <row r="35">
          <cell r="B35" t="str">
            <v>Vijayapuram</v>
          </cell>
          <cell r="C35">
            <v>101</v>
          </cell>
          <cell r="D35">
            <v>100</v>
          </cell>
          <cell r="E35">
            <v>99.009900990099013</v>
          </cell>
          <cell r="F35">
            <v>2.4752475247524757</v>
          </cell>
          <cell r="G35">
            <v>204</v>
          </cell>
          <cell r="H35">
            <v>204</v>
          </cell>
          <cell r="I35">
            <v>100</v>
          </cell>
          <cell r="J35">
            <v>2.5</v>
          </cell>
          <cell r="K35">
            <v>4.9752475247524757</v>
          </cell>
          <cell r="L35">
            <v>99.504950495049513</v>
          </cell>
        </row>
        <row r="36">
          <cell r="B36" t="str">
            <v>Yadamari</v>
          </cell>
          <cell r="C36">
            <v>169</v>
          </cell>
          <cell r="D36">
            <v>169</v>
          </cell>
          <cell r="E36">
            <v>100</v>
          </cell>
          <cell r="F36">
            <v>2.5</v>
          </cell>
          <cell r="G36">
            <v>50</v>
          </cell>
          <cell r="H36">
            <v>49</v>
          </cell>
          <cell r="I36">
            <v>98</v>
          </cell>
          <cell r="J36">
            <v>2.4500000000000002</v>
          </cell>
          <cell r="K36">
            <v>4.95</v>
          </cell>
          <cell r="L36">
            <v>99</v>
          </cell>
        </row>
        <row r="37">
          <cell r="C37">
            <v>6287</v>
          </cell>
          <cell r="D37">
            <v>6075</v>
          </cell>
          <cell r="E37">
            <v>96.627962462223635</v>
          </cell>
          <cell r="F37">
            <v>2.4156990615555909</v>
          </cell>
          <cell r="G37">
            <v>4042</v>
          </cell>
          <cell r="H37">
            <v>3889</v>
          </cell>
          <cell r="I37">
            <v>96.214745175655622</v>
          </cell>
          <cell r="J37">
            <v>2.4053686293913907</v>
          </cell>
          <cell r="K37">
            <v>4.8210676909469816</v>
          </cell>
          <cell r="L37">
            <v>96.421353818939622</v>
          </cell>
        </row>
      </sheetData>
      <sheetData sheetId="14">
        <row r="2">
          <cell r="C2" t="str">
            <v>FROM 23-09-2026 TO 29-09-2026 -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Mahila UPS, Chittoor</v>
          </cell>
          <cell r="C4">
            <v>40</v>
          </cell>
          <cell r="D4">
            <v>100</v>
          </cell>
          <cell r="E4">
            <v>2.5</v>
          </cell>
          <cell r="F4" t="str">
            <v>0 days 00:04:36</v>
          </cell>
          <cell r="G4" t="str">
            <v>0:04:36</v>
          </cell>
          <cell r="H4">
            <v>100</v>
          </cell>
          <cell r="I4">
            <v>2.5</v>
          </cell>
          <cell r="J4">
            <v>100</v>
          </cell>
          <cell r="K4">
            <v>5</v>
          </cell>
        </row>
        <row r="5">
          <cell r="B5" t="str">
            <v>Chittoor Traffic UPS</v>
          </cell>
          <cell r="C5">
            <v>52</v>
          </cell>
          <cell r="D5">
            <v>100</v>
          </cell>
          <cell r="E5">
            <v>2.5</v>
          </cell>
          <cell r="F5" t="str">
            <v>0 days 00:00:12</v>
          </cell>
          <cell r="G5" t="str">
            <v>0:00:12</v>
          </cell>
          <cell r="H5">
            <v>100</v>
          </cell>
          <cell r="I5">
            <v>2.5</v>
          </cell>
          <cell r="J5">
            <v>100</v>
          </cell>
          <cell r="K5">
            <v>5</v>
          </cell>
        </row>
        <row r="6">
          <cell r="B6" t="str">
            <v>Chittoor II Town UPS</v>
          </cell>
          <cell r="C6">
            <v>57</v>
          </cell>
          <cell r="D6">
            <v>100</v>
          </cell>
          <cell r="E6">
            <v>2.5</v>
          </cell>
          <cell r="F6" t="str">
            <v>0 days 01:51:06</v>
          </cell>
          <cell r="G6" t="str">
            <v>1:51:06</v>
          </cell>
          <cell r="H6">
            <v>100</v>
          </cell>
          <cell r="I6">
            <v>2.5</v>
          </cell>
          <cell r="J6">
            <v>100</v>
          </cell>
          <cell r="K6">
            <v>5</v>
          </cell>
        </row>
        <row r="7">
          <cell r="B7" t="str">
            <v>Bangarupalem UPS</v>
          </cell>
          <cell r="C7">
            <v>89</v>
          </cell>
          <cell r="D7">
            <v>100</v>
          </cell>
          <cell r="E7">
            <v>2.5</v>
          </cell>
          <cell r="F7" t="str">
            <v>0 days 03:38:03</v>
          </cell>
          <cell r="G7" t="str">
            <v>3:38:03</v>
          </cell>
          <cell r="H7">
            <v>100</v>
          </cell>
          <cell r="I7">
            <v>2.5</v>
          </cell>
          <cell r="J7">
            <v>100</v>
          </cell>
          <cell r="K7">
            <v>5</v>
          </cell>
        </row>
        <row r="8">
          <cell r="B8" t="str">
            <v>V.Kota UPS</v>
          </cell>
          <cell r="C8">
            <v>27</v>
          </cell>
          <cell r="D8">
            <v>100</v>
          </cell>
          <cell r="E8">
            <v>2.5</v>
          </cell>
          <cell r="F8" t="str">
            <v>0 days 07:10:08</v>
          </cell>
          <cell r="G8" t="str">
            <v>7:10:08</v>
          </cell>
          <cell r="H8">
            <v>100</v>
          </cell>
          <cell r="I8">
            <v>2.5</v>
          </cell>
          <cell r="J8">
            <v>100</v>
          </cell>
          <cell r="K8">
            <v>5</v>
          </cell>
        </row>
        <row r="9">
          <cell r="B9" t="str">
            <v>G.D.Nellore UPS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Palamaner UPS</v>
          </cell>
          <cell r="C10">
            <v>86</v>
          </cell>
          <cell r="D10">
            <v>100</v>
          </cell>
          <cell r="E10">
            <v>2.5</v>
          </cell>
          <cell r="F10" t="str">
            <v>0 days 00:20:32</v>
          </cell>
          <cell r="G10" t="str">
            <v>0:20:32</v>
          </cell>
          <cell r="H10">
            <v>100</v>
          </cell>
          <cell r="I10">
            <v>2.5</v>
          </cell>
          <cell r="J10">
            <v>100</v>
          </cell>
          <cell r="K10">
            <v>5</v>
          </cell>
        </row>
        <row r="11">
          <cell r="B11" t="str">
            <v>Gangavaram UPS</v>
          </cell>
          <cell r="C11">
            <v>52</v>
          </cell>
          <cell r="D11">
            <v>100</v>
          </cell>
          <cell r="E11">
            <v>2.5</v>
          </cell>
          <cell r="F11" t="str">
            <v>0 days 02:42:05</v>
          </cell>
          <cell r="G11" t="str">
            <v>2:42:05</v>
          </cell>
          <cell r="H11">
            <v>100</v>
          </cell>
          <cell r="I11">
            <v>2.5</v>
          </cell>
          <cell r="J11">
            <v>100</v>
          </cell>
          <cell r="K11">
            <v>5</v>
          </cell>
        </row>
        <row r="12">
          <cell r="B12" t="str">
            <v>CCS Chittoor UPS</v>
          </cell>
          <cell r="C12">
            <v>40</v>
          </cell>
          <cell r="D12">
            <v>100</v>
          </cell>
          <cell r="E12">
            <v>2.5</v>
          </cell>
          <cell r="F12" t="str">
            <v>0 days 00:00:09</v>
          </cell>
          <cell r="G12" t="str">
            <v>0:00:09</v>
          </cell>
          <cell r="H12">
            <v>100</v>
          </cell>
          <cell r="I12">
            <v>2.5</v>
          </cell>
          <cell r="J12">
            <v>100</v>
          </cell>
          <cell r="K12">
            <v>5</v>
          </cell>
        </row>
        <row r="13">
          <cell r="B13" t="str">
            <v>Nagari UPS</v>
          </cell>
          <cell r="C13">
            <v>48</v>
          </cell>
          <cell r="D13">
            <v>100</v>
          </cell>
          <cell r="E13">
            <v>2.5</v>
          </cell>
          <cell r="F13" t="str">
            <v>0 days 00:06:02</v>
          </cell>
          <cell r="G13" t="str">
            <v>0:06:02</v>
          </cell>
          <cell r="H13">
            <v>100</v>
          </cell>
          <cell r="I13">
            <v>2.5</v>
          </cell>
          <cell r="J13">
            <v>100</v>
          </cell>
          <cell r="K13">
            <v>5</v>
          </cell>
        </row>
        <row r="14">
          <cell r="B14" t="str">
            <v>Puthalapattu UPS</v>
          </cell>
          <cell r="C14">
            <v>78</v>
          </cell>
          <cell r="D14">
            <v>100</v>
          </cell>
          <cell r="E14">
            <v>2.5</v>
          </cell>
          <cell r="F14" t="str">
            <v>0 days 07:39:33</v>
          </cell>
          <cell r="G14" t="str">
            <v>7:39:33</v>
          </cell>
          <cell r="H14">
            <v>100</v>
          </cell>
          <cell r="I14">
            <v>2.5</v>
          </cell>
          <cell r="J14">
            <v>100</v>
          </cell>
          <cell r="K14">
            <v>5</v>
          </cell>
        </row>
        <row r="15">
          <cell r="B15" t="str">
            <v>Baireddypalle</v>
          </cell>
          <cell r="C15">
            <v>70</v>
          </cell>
          <cell r="D15">
            <v>100</v>
          </cell>
          <cell r="E15">
            <v>2.5</v>
          </cell>
          <cell r="F15" t="str">
            <v>0 days 05:29:09</v>
          </cell>
          <cell r="G15" t="str">
            <v>5:29:09</v>
          </cell>
          <cell r="H15">
            <v>100</v>
          </cell>
          <cell r="I15">
            <v>2.5</v>
          </cell>
          <cell r="J15">
            <v>100</v>
          </cell>
          <cell r="K15">
            <v>5</v>
          </cell>
        </row>
        <row r="16">
          <cell r="B16" t="str">
            <v>Rompicherla</v>
          </cell>
          <cell r="C16">
            <v>56</v>
          </cell>
          <cell r="D16">
            <v>100</v>
          </cell>
          <cell r="E16">
            <v>2.5</v>
          </cell>
          <cell r="F16" t="str">
            <v>0 days 00:02:11</v>
          </cell>
          <cell r="G16" t="str">
            <v>0:02:11</v>
          </cell>
          <cell r="H16">
            <v>100</v>
          </cell>
          <cell r="I16">
            <v>2.5</v>
          </cell>
          <cell r="J16">
            <v>100</v>
          </cell>
          <cell r="K16">
            <v>5</v>
          </cell>
        </row>
        <row r="17">
          <cell r="B17" t="str">
            <v>Yadamari</v>
          </cell>
          <cell r="C17">
            <v>54</v>
          </cell>
          <cell r="D17">
            <v>100</v>
          </cell>
          <cell r="E17">
            <v>2.5</v>
          </cell>
          <cell r="F17" t="str">
            <v>0 days 00:36:56</v>
          </cell>
          <cell r="G17" t="str">
            <v>0:36:56</v>
          </cell>
          <cell r="H17">
            <v>100</v>
          </cell>
          <cell r="I17">
            <v>2.5</v>
          </cell>
          <cell r="J17">
            <v>100</v>
          </cell>
          <cell r="K17">
            <v>5</v>
          </cell>
        </row>
        <row r="18">
          <cell r="B18" t="str">
            <v>Irala</v>
          </cell>
          <cell r="C18">
            <v>57</v>
          </cell>
          <cell r="D18">
            <v>100</v>
          </cell>
          <cell r="E18">
            <v>2.5</v>
          </cell>
          <cell r="F18" t="str">
            <v>0 days 16:07:29</v>
          </cell>
          <cell r="G18" t="str">
            <v>16:07:29</v>
          </cell>
          <cell r="H18">
            <v>100</v>
          </cell>
          <cell r="I18">
            <v>2.5</v>
          </cell>
          <cell r="J18">
            <v>100</v>
          </cell>
          <cell r="K18">
            <v>5</v>
          </cell>
        </row>
        <row r="19">
          <cell r="B19" t="str">
            <v>Kanipakam</v>
          </cell>
          <cell r="C19">
            <v>44</v>
          </cell>
          <cell r="D19">
            <v>100</v>
          </cell>
          <cell r="E19">
            <v>2.5</v>
          </cell>
          <cell r="F19" t="str">
            <v>0 days 00:28:40</v>
          </cell>
          <cell r="G19" t="str">
            <v>0:28:40</v>
          </cell>
          <cell r="H19">
            <v>100</v>
          </cell>
          <cell r="I19">
            <v>2.5</v>
          </cell>
          <cell r="J19">
            <v>100</v>
          </cell>
          <cell r="K19">
            <v>5</v>
          </cell>
        </row>
        <row r="20">
          <cell r="B20" t="str">
            <v>Narsingarayanipet(N.R.Pet)</v>
          </cell>
          <cell r="C20">
            <v>67</v>
          </cell>
          <cell r="D20">
            <v>100</v>
          </cell>
          <cell r="E20">
            <v>2.5</v>
          </cell>
          <cell r="F20" t="str">
            <v>0 days 03:00:41</v>
          </cell>
          <cell r="G20" t="str">
            <v>3:00:41</v>
          </cell>
          <cell r="H20">
            <v>100</v>
          </cell>
          <cell r="I20">
            <v>2.5</v>
          </cell>
          <cell r="J20">
            <v>100</v>
          </cell>
          <cell r="K20">
            <v>5</v>
          </cell>
        </row>
        <row r="21">
          <cell r="B21" t="str">
            <v>Chittoor Taluk PS</v>
          </cell>
          <cell r="C21">
            <v>76</v>
          </cell>
          <cell r="D21">
            <v>100</v>
          </cell>
          <cell r="E21">
            <v>2.5</v>
          </cell>
          <cell r="F21" t="str">
            <v>0 days 17:31:45</v>
          </cell>
          <cell r="G21" t="str">
            <v>17:31:45</v>
          </cell>
          <cell r="H21">
            <v>100</v>
          </cell>
          <cell r="I21">
            <v>2.5</v>
          </cell>
          <cell r="J21">
            <v>100</v>
          </cell>
          <cell r="K21">
            <v>5</v>
          </cell>
        </row>
        <row r="22">
          <cell r="B22" t="str">
            <v>Penumur</v>
          </cell>
          <cell r="C22">
            <v>40</v>
          </cell>
          <cell r="D22">
            <v>100</v>
          </cell>
          <cell r="E22">
            <v>2.5</v>
          </cell>
          <cell r="F22" t="str">
            <v>0 days 00:01:01</v>
          </cell>
          <cell r="G22" t="str">
            <v>0:01:01</v>
          </cell>
          <cell r="H22">
            <v>100</v>
          </cell>
          <cell r="I22">
            <v>2.5</v>
          </cell>
          <cell r="J22">
            <v>100</v>
          </cell>
          <cell r="K22">
            <v>5</v>
          </cell>
        </row>
        <row r="23">
          <cell r="B23" t="str">
            <v>K. Nagar</v>
          </cell>
          <cell r="C23">
            <v>108</v>
          </cell>
          <cell r="D23">
            <v>100</v>
          </cell>
          <cell r="E23">
            <v>2.5</v>
          </cell>
          <cell r="F23" t="str">
            <v>0 days 00:04:40</v>
          </cell>
          <cell r="G23" t="str">
            <v>0:04:40</v>
          </cell>
          <cell r="H23">
            <v>100</v>
          </cell>
          <cell r="I23">
            <v>2.5</v>
          </cell>
          <cell r="J23">
            <v>100</v>
          </cell>
          <cell r="K23">
            <v>5</v>
          </cell>
        </row>
        <row r="24">
          <cell r="B24" t="str">
            <v>Palasamudram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Nindra</v>
          </cell>
          <cell r="C25">
            <v>58</v>
          </cell>
          <cell r="D25">
            <v>100</v>
          </cell>
          <cell r="E25">
            <v>2.5</v>
          </cell>
          <cell r="F25" t="str">
            <v>0 days 02:06:38</v>
          </cell>
          <cell r="G25" t="str">
            <v>2:06:38</v>
          </cell>
          <cell r="H25">
            <v>100</v>
          </cell>
          <cell r="I25">
            <v>2.5</v>
          </cell>
          <cell r="J25">
            <v>100</v>
          </cell>
          <cell r="K25">
            <v>5</v>
          </cell>
        </row>
        <row r="26">
          <cell r="B26" t="str">
            <v>Ramakuppam</v>
          </cell>
          <cell r="C26">
            <v>159</v>
          </cell>
          <cell r="D26">
            <v>100</v>
          </cell>
          <cell r="E26">
            <v>2.5</v>
          </cell>
          <cell r="F26" t="str">
            <v>0 days 01:09:13</v>
          </cell>
          <cell r="G26" t="str">
            <v>1:09:13</v>
          </cell>
          <cell r="H26">
            <v>100</v>
          </cell>
          <cell r="I26">
            <v>2.5</v>
          </cell>
          <cell r="J26">
            <v>100</v>
          </cell>
          <cell r="K26">
            <v>5</v>
          </cell>
        </row>
        <row r="27">
          <cell r="B27" t="str">
            <v>Gudipala</v>
          </cell>
          <cell r="C27">
            <v>29</v>
          </cell>
          <cell r="D27">
            <v>100</v>
          </cell>
          <cell r="E27">
            <v>2.5</v>
          </cell>
          <cell r="F27" t="str">
            <v>0 days 02:10:18</v>
          </cell>
          <cell r="G27" t="str">
            <v>2:10:18</v>
          </cell>
          <cell r="H27">
            <v>100</v>
          </cell>
          <cell r="I27">
            <v>2.5</v>
          </cell>
          <cell r="J27">
            <v>100</v>
          </cell>
          <cell r="K27">
            <v>5</v>
          </cell>
        </row>
        <row r="28">
          <cell r="B28" t="str">
            <v>Rallabudugur</v>
          </cell>
          <cell r="C28">
            <v>166</v>
          </cell>
          <cell r="D28">
            <v>100</v>
          </cell>
          <cell r="E28">
            <v>2.5</v>
          </cell>
          <cell r="F28" t="str">
            <v>0 days 00:19:51</v>
          </cell>
          <cell r="G28" t="str">
            <v>0:19:51</v>
          </cell>
          <cell r="H28">
            <v>100</v>
          </cell>
          <cell r="I28">
            <v>2.5</v>
          </cell>
          <cell r="J28">
            <v>100</v>
          </cell>
          <cell r="K28">
            <v>5</v>
          </cell>
        </row>
        <row r="29">
          <cell r="B29" t="str">
            <v>Thavanampalle</v>
          </cell>
          <cell r="C29">
            <v>39</v>
          </cell>
          <cell r="D29">
            <v>100</v>
          </cell>
          <cell r="E29">
            <v>2.5</v>
          </cell>
          <cell r="F29" t="str">
            <v>0 days 00:18:37</v>
          </cell>
          <cell r="G29" t="str">
            <v>0:18:37</v>
          </cell>
          <cell r="H29">
            <v>100</v>
          </cell>
          <cell r="I29">
            <v>2.5</v>
          </cell>
          <cell r="J29">
            <v>100</v>
          </cell>
          <cell r="K29">
            <v>5</v>
          </cell>
        </row>
        <row r="30">
          <cell r="B30" t="str">
            <v>S.R.Puram</v>
          </cell>
          <cell r="C30">
            <v>34</v>
          </cell>
          <cell r="D30">
            <v>100</v>
          </cell>
          <cell r="E30">
            <v>2.5</v>
          </cell>
          <cell r="F30" t="str">
            <v>0 days 00:11:08</v>
          </cell>
          <cell r="G30" t="str">
            <v>0:11:08</v>
          </cell>
          <cell r="H30">
            <v>100</v>
          </cell>
          <cell r="I30">
            <v>2.5</v>
          </cell>
          <cell r="J30">
            <v>100</v>
          </cell>
          <cell r="K30">
            <v>5</v>
          </cell>
        </row>
        <row r="31">
          <cell r="B31" t="str">
            <v>Vedurukuppam</v>
          </cell>
          <cell r="C31">
            <v>110</v>
          </cell>
          <cell r="D31">
            <v>100</v>
          </cell>
          <cell r="E31">
            <v>2.5</v>
          </cell>
          <cell r="F31" t="str">
            <v>0 days 00:09:38</v>
          </cell>
          <cell r="G31" t="str">
            <v>0:09:38</v>
          </cell>
          <cell r="H31">
            <v>100</v>
          </cell>
          <cell r="I31">
            <v>2.5</v>
          </cell>
          <cell r="J31">
            <v>100</v>
          </cell>
          <cell r="K31">
            <v>5</v>
          </cell>
        </row>
        <row r="32">
          <cell r="B32" t="str">
            <v>Vijayapuram</v>
          </cell>
          <cell r="C32">
            <v>118</v>
          </cell>
          <cell r="D32">
            <v>100</v>
          </cell>
          <cell r="E32">
            <v>2.5</v>
          </cell>
          <cell r="F32" t="str">
            <v>0 days 00:24:54</v>
          </cell>
          <cell r="G32" t="str">
            <v>0:24:54</v>
          </cell>
          <cell r="H32">
            <v>100</v>
          </cell>
          <cell r="I32">
            <v>2.5</v>
          </cell>
          <cell r="J32">
            <v>100</v>
          </cell>
          <cell r="K32">
            <v>5</v>
          </cell>
        </row>
        <row r="33">
          <cell r="B33" t="str">
            <v>Kallur</v>
          </cell>
          <cell r="C33">
            <v>41</v>
          </cell>
          <cell r="D33">
            <v>100</v>
          </cell>
          <cell r="E33">
            <v>2.5</v>
          </cell>
          <cell r="F33" t="str">
            <v>0 days 00:12:07</v>
          </cell>
          <cell r="G33" t="str">
            <v>0:12:07</v>
          </cell>
          <cell r="H33">
            <v>100</v>
          </cell>
          <cell r="I33">
            <v>2.5</v>
          </cell>
          <cell r="J33">
            <v>100</v>
          </cell>
          <cell r="K33">
            <v>5</v>
          </cell>
        </row>
        <row r="34">
          <cell r="B34" t="str">
            <v>Chittoor I Town UPS</v>
          </cell>
          <cell r="C34">
            <v>71</v>
          </cell>
          <cell r="D34">
            <v>100</v>
          </cell>
          <cell r="E34">
            <v>2.5</v>
          </cell>
          <cell r="F34" t="str">
            <v>0 days 00:10:07</v>
          </cell>
          <cell r="G34" t="str">
            <v>0:10:07</v>
          </cell>
          <cell r="H34">
            <v>100</v>
          </cell>
          <cell r="I34">
            <v>2.5</v>
          </cell>
          <cell r="J34">
            <v>100</v>
          </cell>
          <cell r="K34">
            <v>5</v>
          </cell>
        </row>
        <row r="35">
          <cell r="B35" t="str">
            <v>Gudipalli</v>
          </cell>
          <cell r="C35">
            <v>56</v>
          </cell>
          <cell r="D35">
            <v>100</v>
          </cell>
          <cell r="E35">
            <v>2.5</v>
          </cell>
          <cell r="F35" t="str">
            <v>0 days 00:33:52</v>
          </cell>
          <cell r="G35" t="str">
            <v>0:33:52</v>
          </cell>
          <cell r="H35">
            <v>100</v>
          </cell>
          <cell r="I35">
            <v>2.5</v>
          </cell>
          <cell r="J35">
            <v>100</v>
          </cell>
          <cell r="K35">
            <v>5</v>
          </cell>
        </row>
        <row r="36">
          <cell r="B36" t="str">
            <v>Panjani</v>
          </cell>
          <cell r="C36">
            <v>63</v>
          </cell>
          <cell r="D36">
            <v>100</v>
          </cell>
          <cell r="E36">
            <v>2.5</v>
          </cell>
          <cell r="F36" t="str">
            <v>0 days 04:37:05</v>
          </cell>
          <cell r="G36" t="str">
            <v>4:37:05</v>
          </cell>
          <cell r="H36">
            <v>100</v>
          </cell>
          <cell r="I36">
            <v>2.5</v>
          </cell>
          <cell r="J36">
            <v>100</v>
          </cell>
          <cell r="K36">
            <v>5</v>
          </cell>
        </row>
        <row r="37">
          <cell r="B37" t="str">
            <v>Kuppam UPS</v>
          </cell>
          <cell r="C37">
            <v>10</v>
          </cell>
          <cell r="D37">
            <v>28.57</v>
          </cell>
          <cell r="E37">
            <v>0.71425000000000005</v>
          </cell>
          <cell r="F37" t="str">
            <v>0 days 11:57:12</v>
          </cell>
          <cell r="G37" t="str">
            <v>11:57:12</v>
          </cell>
          <cell r="H37">
            <v>100</v>
          </cell>
          <cell r="I37">
            <v>2.5</v>
          </cell>
          <cell r="J37">
            <v>64.284999999999997</v>
          </cell>
          <cell r="K37">
            <v>3.2142499999999998</v>
          </cell>
        </row>
      </sheetData>
      <sheetData sheetId="15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Chittoor I Town UPS</v>
          </cell>
          <cell r="C3">
            <v>61</v>
          </cell>
          <cell r="D3">
            <v>61</v>
          </cell>
          <cell r="E3">
            <v>100</v>
          </cell>
          <cell r="F3">
            <v>2.5</v>
          </cell>
          <cell r="G3">
            <v>61</v>
          </cell>
          <cell r="H3">
            <v>100</v>
          </cell>
          <cell r="I3">
            <v>2.5</v>
          </cell>
          <cell r="J3">
            <v>5</v>
          </cell>
          <cell r="K3">
            <v>100</v>
          </cell>
        </row>
        <row r="4">
          <cell r="B4" t="str">
            <v>Palamaner UPS</v>
          </cell>
          <cell r="C4">
            <v>53</v>
          </cell>
          <cell r="D4">
            <v>53</v>
          </cell>
          <cell r="E4">
            <v>100</v>
          </cell>
          <cell r="F4">
            <v>2.5</v>
          </cell>
          <cell r="G4">
            <v>53</v>
          </cell>
          <cell r="H4">
            <v>100</v>
          </cell>
          <cell r="I4">
            <v>2.5</v>
          </cell>
          <cell r="J4">
            <v>5</v>
          </cell>
          <cell r="K4">
            <v>100</v>
          </cell>
        </row>
        <row r="5">
          <cell r="B5" t="str">
            <v>Chittoor II Town UPS</v>
          </cell>
          <cell r="C5">
            <v>46</v>
          </cell>
          <cell r="D5">
            <v>46</v>
          </cell>
          <cell r="E5">
            <v>100</v>
          </cell>
          <cell r="F5">
            <v>2.5</v>
          </cell>
          <cell r="G5">
            <v>46</v>
          </cell>
          <cell r="H5">
            <v>100</v>
          </cell>
          <cell r="I5">
            <v>2.5</v>
          </cell>
          <cell r="J5">
            <v>5</v>
          </cell>
          <cell r="K5">
            <v>100</v>
          </cell>
        </row>
        <row r="6">
          <cell r="B6" t="str">
            <v>Chittoor Traffic UPS</v>
          </cell>
          <cell r="C6">
            <v>44</v>
          </cell>
          <cell r="D6">
            <v>44</v>
          </cell>
          <cell r="E6">
            <v>100</v>
          </cell>
          <cell r="F6">
            <v>2.5</v>
          </cell>
          <cell r="G6">
            <v>44</v>
          </cell>
          <cell r="H6">
            <v>100</v>
          </cell>
          <cell r="I6">
            <v>2.5</v>
          </cell>
          <cell r="J6">
            <v>5</v>
          </cell>
          <cell r="K6">
            <v>100</v>
          </cell>
        </row>
        <row r="7">
          <cell r="B7" t="str">
            <v>Kanipakam</v>
          </cell>
          <cell r="C7">
            <v>35</v>
          </cell>
          <cell r="D7">
            <v>35</v>
          </cell>
          <cell r="E7">
            <v>100</v>
          </cell>
          <cell r="F7">
            <v>2.5</v>
          </cell>
          <cell r="G7">
            <v>35</v>
          </cell>
          <cell r="H7">
            <v>100</v>
          </cell>
          <cell r="I7">
            <v>2.5</v>
          </cell>
          <cell r="J7">
            <v>5</v>
          </cell>
          <cell r="K7">
            <v>100</v>
          </cell>
        </row>
        <row r="8">
          <cell r="B8" t="str">
            <v>Kuppam UPS</v>
          </cell>
          <cell r="C8">
            <v>32</v>
          </cell>
          <cell r="D8">
            <v>32</v>
          </cell>
          <cell r="E8">
            <v>100</v>
          </cell>
          <cell r="F8">
            <v>2.5</v>
          </cell>
          <cell r="G8">
            <v>32</v>
          </cell>
          <cell r="H8">
            <v>100</v>
          </cell>
          <cell r="I8">
            <v>2.5</v>
          </cell>
          <cell r="J8">
            <v>5</v>
          </cell>
          <cell r="K8">
            <v>100</v>
          </cell>
        </row>
        <row r="9">
          <cell r="B9" t="str">
            <v>Gudipala</v>
          </cell>
          <cell r="C9">
            <v>29</v>
          </cell>
          <cell r="D9">
            <v>29</v>
          </cell>
          <cell r="E9">
            <v>100</v>
          </cell>
          <cell r="F9">
            <v>2.5</v>
          </cell>
          <cell r="G9">
            <v>29</v>
          </cell>
          <cell r="H9">
            <v>100</v>
          </cell>
          <cell r="I9">
            <v>2.5</v>
          </cell>
          <cell r="J9">
            <v>5</v>
          </cell>
          <cell r="K9">
            <v>100</v>
          </cell>
        </row>
        <row r="10">
          <cell r="B10" t="str">
            <v>G.D.Nellore UPS</v>
          </cell>
          <cell r="C10">
            <v>29</v>
          </cell>
          <cell r="D10">
            <v>29</v>
          </cell>
          <cell r="E10">
            <v>100</v>
          </cell>
          <cell r="F10">
            <v>2.5</v>
          </cell>
          <cell r="G10">
            <v>29</v>
          </cell>
          <cell r="H10">
            <v>100</v>
          </cell>
          <cell r="I10">
            <v>2.5</v>
          </cell>
          <cell r="J10">
            <v>5</v>
          </cell>
          <cell r="K10">
            <v>100</v>
          </cell>
        </row>
        <row r="11">
          <cell r="B11" t="str">
            <v>Yadamari</v>
          </cell>
          <cell r="C11">
            <v>29</v>
          </cell>
          <cell r="D11">
            <v>29</v>
          </cell>
          <cell r="E11">
            <v>100</v>
          </cell>
          <cell r="F11">
            <v>2.5</v>
          </cell>
          <cell r="G11">
            <v>29</v>
          </cell>
          <cell r="H11">
            <v>100</v>
          </cell>
          <cell r="I11">
            <v>2.5</v>
          </cell>
          <cell r="J11">
            <v>5</v>
          </cell>
          <cell r="K11">
            <v>100</v>
          </cell>
        </row>
        <row r="12">
          <cell r="B12" t="str">
            <v>Puthalapattu UPS</v>
          </cell>
          <cell r="C12">
            <v>28</v>
          </cell>
          <cell r="D12">
            <v>28</v>
          </cell>
          <cell r="E12">
            <v>100</v>
          </cell>
          <cell r="F12">
            <v>2.5</v>
          </cell>
          <cell r="G12">
            <v>28</v>
          </cell>
          <cell r="H12">
            <v>100</v>
          </cell>
          <cell r="I12">
            <v>2.5</v>
          </cell>
          <cell r="J12">
            <v>5</v>
          </cell>
          <cell r="K12">
            <v>100</v>
          </cell>
        </row>
        <row r="13">
          <cell r="B13" t="str">
            <v>Panjani</v>
          </cell>
          <cell r="C13">
            <v>28</v>
          </cell>
          <cell r="D13">
            <v>28</v>
          </cell>
          <cell r="E13">
            <v>100</v>
          </cell>
          <cell r="F13">
            <v>2.5</v>
          </cell>
          <cell r="G13">
            <v>28</v>
          </cell>
          <cell r="H13">
            <v>100</v>
          </cell>
          <cell r="I13">
            <v>2.5</v>
          </cell>
          <cell r="J13">
            <v>5</v>
          </cell>
          <cell r="K13">
            <v>100</v>
          </cell>
        </row>
        <row r="14">
          <cell r="B14" t="str">
            <v>Nagari UPS</v>
          </cell>
          <cell r="C14">
            <v>28</v>
          </cell>
          <cell r="D14">
            <v>28</v>
          </cell>
          <cell r="E14">
            <v>100</v>
          </cell>
          <cell r="F14">
            <v>2.5</v>
          </cell>
          <cell r="G14">
            <v>28</v>
          </cell>
          <cell r="H14">
            <v>100</v>
          </cell>
          <cell r="I14">
            <v>2.5</v>
          </cell>
          <cell r="J14">
            <v>5</v>
          </cell>
          <cell r="K14">
            <v>100</v>
          </cell>
        </row>
        <row r="15">
          <cell r="B15" t="str">
            <v>Kallur</v>
          </cell>
          <cell r="C15">
            <v>27</v>
          </cell>
          <cell r="D15">
            <v>27</v>
          </cell>
          <cell r="E15">
            <v>100</v>
          </cell>
          <cell r="F15">
            <v>2.5</v>
          </cell>
          <cell r="G15">
            <v>27</v>
          </cell>
          <cell r="H15">
            <v>100</v>
          </cell>
          <cell r="I15">
            <v>2.5</v>
          </cell>
          <cell r="J15">
            <v>5</v>
          </cell>
          <cell r="K15">
            <v>100</v>
          </cell>
        </row>
        <row r="16">
          <cell r="B16" t="str">
            <v>Gangavaram UPS</v>
          </cell>
          <cell r="C16">
            <v>26</v>
          </cell>
          <cell r="D16">
            <v>26</v>
          </cell>
          <cell r="E16">
            <v>100</v>
          </cell>
          <cell r="F16">
            <v>2.5</v>
          </cell>
          <cell r="G16">
            <v>26</v>
          </cell>
          <cell r="H16">
            <v>100</v>
          </cell>
          <cell r="I16">
            <v>2.5</v>
          </cell>
          <cell r="J16">
            <v>5</v>
          </cell>
          <cell r="K16">
            <v>100</v>
          </cell>
        </row>
        <row r="17">
          <cell r="B17" t="str">
            <v>Narsingarayanipet(N.R.Pet)</v>
          </cell>
          <cell r="C17">
            <v>25</v>
          </cell>
          <cell r="D17">
            <v>25</v>
          </cell>
          <cell r="E17">
            <v>100</v>
          </cell>
          <cell r="F17">
            <v>2.5</v>
          </cell>
          <cell r="G17">
            <v>25</v>
          </cell>
          <cell r="H17">
            <v>100</v>
          </cell>
          <cell r="I17">
            <v>2.5</v>
          </cell>
          <cell r="J17">
            <v>5</v>
          </cell>
          <cell r="K17">
            <v>100</v>
          </cell>
        </row>
        <row r="18">
          <cell r="B18" t="str">
            <v>S.R.Puram</v>
          </cell>
          <cell r="C18">
            <v>23</v>
          </cell>
          <cell r="D18">
            <v>23</v>
          </cell>
          <cell r="E18">
            <v>100</v>
          </cell>
          <cell r="F18">
            <v>2.5</v>
          </cell>
          <cell r="G18">
            <v>23</v>
          </cell>
          <cell r="H18">
            <v>100</v>
          </cell>
          <cell r="I18">
            <v>2.5</v>
          </cell>
          <cell r="J18">
            <v>5</v>
          </cell>
          <cell r="K18">
            <v>100</v>
          </cell>
        </row>
        <row r="19">
          <cell r="B19" t="str">
            <v>Baireddypalle</v>
          </cell>
          <cell r="C19">
            <v>22</v>
          </cell>
          <cell r="D19">
            <v>22</v>
          </cell>
          <cell r="E19">
            <v>100</v>
          </cell>
          <cell r="F19">
            <v>2.5</v>
          </cell>
          <cell r="G19">
            <v>22</v>
          </cell>
          <cell r="H19">
            <v>100</v>
          </cell>
          <cell r="I19">
            <v>2.5</v>
          </cell>
          <cell r="J19">
            <v>5</v>
          </cell>
          <cell r="K19">
            <v>100</v>
          </cell>
        </row>
        <row r="20">
          <cell r="B20" t="str">
            <v>Rallabudugur</v>
          </cell>
          <cell r="C20">
            <v>22</v>
          </cell>
          <cell r="D20">
            <v>22</v>
          </cell>
          <cell r="E20">
            <v>100</v>
          </cell>
          <cell r="F20">
            <v>2.5</v>
          </cell>
          <cell r="G20">
            <v>22</v>
          </cell>
          <cell r="H20">
            <v>100</v>
          </cell>
          <cell r="I20">
            <v>2.5</v>
          </cell>
          <cell r="J20">
            <v>5</v>
          </cell>
          <cell r="K20">
            <v>100</v>
          </cell>
        </row>
        <row r="21">
          <cell r="B21" t="str">
            <v>Bangarupalem UPS</v>
          </cell>
          <cell r="C21">
            <v>22</v>
          </cell>
          <cell r="D21">
            <v>22</v>
          </cell>
          <cell r="E21">
            <v>100</v>
          </cell>
          <cell r="F21">
            <v>2.5</v>
          </cell>
          <cell r="G21">
            <v>22</v>
          </cell>
          <cell r="H21">
            <v>100</v>
          </cell>
          <cell r="I21">
            <v>2.5</v>
          </cell>
          <cell r="J21">
            <v>5</v>
          </cell>
          <cell r="K21">
            <v>100</v>
          </cell>
        </row>
        <row r="22">
          <cell r="B22" t="str">
            <v>Irala</v>
          </cell>
          <cell r="C22">
            <v>21</v>
          </cell>
          <cell r="D22">
            <v>21</v>
          </cell>
          <cell r="E22">
            <v>100</v>
          </cell>
          <cell r="F22">
            <v>2.5</v>
          </cell>
          <cell r="G22">
            <v>21</v>
          </cell>
          <cell r="H22">
            <v>100</v>
          </cell>
          <cell r="I22">
            <v>2.5</v>
          </cell>
          <cell r="J22">
            <v>5</v>
          </cell>
          <cell r="K22">
            <v>100</v>
          </cell>
        </row>
        <row r="23">
          <cell r="B23" t="str">
            <v>Gudipalli</v>
          </cell>
          <cell r="C23">
            <v>20</v>
          </cell>
          <cell r="D23">
            <v>20</v>
          </cell>
          <cell r="E23">
            <v>100</v>
          </cell>
          <cell r="F23">
            <v>2.5</v>
          </cell>
          <cell r="G23">
            <v>20</v>
          </cell>
          <cell r="H23">
            <v>100</v>
          </cell>
          <cell r="I23">
            <v>2.5</v>
          </cell>
          <cell r="J23">
            <v>5</v>
          </cell>
          <cell r="K23">
            <v>100</v>
          </cell>
        </row>
        <row r="24">
          <cell r="B24" t="str">
            <v>Ramakuppam</v>
          </cell>
          <cell r="C24">
            <v>20</v>
          </cell>
          <cell r="D24">
            <v>20</v>
          </cell>
          <cell r="E24">
            <v>100</v>
          </cell>
          <cell r="F24">
            <v>2.5</v>
          </cell>
          <cell r="G24">
            <v>20</v>
          </cell>
          <cell r="H24">
            <v>100</v>
          </cell>
          <cell r="I24">
            <v>2.5</v>
          </cell>
          <cell r="J24">
            <v>5</v>
          </cell>
          <cell r="K24">
            <v>100</v>
          </cell>
        </row>
        <row r="25">
          <cell r="B25" t="str">
            <v>K. Nagar</v>
          </cell>
          <cell r="C25">
            <v>19</v>
          </cell>
          <cell r="D25">
            <v>19</v>
          </cell>
          <cell r="E25">
            <v>100</v>
          </cell>
          <cell r="F25">
            <v>2.5</v>
          </cell>
          <cell r="G25">
            <v>19</v>
          </cell>
          <cell r="H25">
            <v>100</v>
          </cell>
          <cell r="I25">
            <v>2.5</v>
          </cell>
          <cell r="J25">
            <v>5</v>
          </cell>
          <cell r="K25">
            <v>100</v>
          </cell>
        </row>
        <row r="26">
          <cell r="B26" t="str">
            <v>Penumur</v>
          </cell>
          <cell r="C26">
            <v>19</v>
          </cell>
          <cell r="D26">
            <v>19</v>
          </cell>
          <cell r="E26">
            <v>100</v>
          </cell>
          <cell r="F26">
            <v>2.5</v>
          </cell>
          <cell r="G26">
            <v>19</v>
          </cell>
          <cell r="H26">
            <v>100</v>
          </cell>
          <cell r="I26">
            <v>2.5</v>
          </cell>
          <cell r="J26">
            <v>5</v>
          </cell>
          <cell r="K26">
            <v>100</v>
          </cell>
        </row>
        <row r="27">
          <cell r="B27" t="str">
            <v>Thavanampalle</v>
          </cell>
          <cell r="C27">
            <v>18</v>
          </cell>
          <cell r="D27">
            <v>18</v>
          </cell>
          <cell r="E27">
            <v>100</v>
          </cell>
          <cell r="F27">
            <v>2.5</v>
          </cell>
          <cell r="G27">
            <v>18</v>
          </cell>
          <cell r="H27">
            <v>100</v>
          </cell>
          <cell r="I27">
            <v>2.5</v>
          </cell>
          <cell r="J27">
            <v>5</v>
          </cell>
          <cell r="K27">
            <v>100</v>
          </cell>
        </row>
        <row r="28">
          <cell r="B28" t="str">
            <v>Palasamudram</v>
          </cell>
          <cell r="C28">
            <v>17</v>
          </cell>
          <cell r="D28">
            <v>17</v>
          </cell>
          <cell r="E28">
            <v>100</v>
          </cell>
          <cell r="F28">
            <v>2.5</v>
          </cell>
          <cell r="G28">
            <v>17</v>
          </cell>
          <cell r="H28">
            <v>100</v>
          </cell>
          <cell r="I28">
            <v>2.5</v>
          </cell>
          <cell r="J28">
            <v>5</v>
          </cell>
          <cell r="K28">
            <v>100</v>
          </cell>
        </row>
        <row r="29">
          <cell r="B29" t="str">
            <v>Mahila UPS, Chittoor</v>
          </cell>
          <cell r="C29">
            <v>17</v>
          </cell>
          <cell r="D29">
            <v>17</v>
          </cell>
          <cell r="E29">
            <v>100</v>
          </cell>
          <cell r="F29">
            <v>2.5</v>
          </cell>
          <cell r="G29">
            <v>17</v>
          </cell>
          <cell r="H29">
            <v>100</v>
          </cell>
          <cell r="I29">
            <v>2.5</v>
          </cell>
          <cell r="J29">
            <v>5</v>
          </cell>
          <cell r="K29">
            <v>100</v>
          </cell>
        </row>
        <row r="30">
          <cell r="B30" t="str">
            <v>CCS Chittoor UPS</v>
          </cell>
          <cell r="C30">
            <v>17</v>
          </cell>
          <cell r="D30">
            <v>17</v>
          </cell>
          <cell r="E30">
            <v>100</v>
          </cell>
          <cell r="F30">
            <v>2.5</v>
          </cell>
          <cell r="G30">
            <v>17</v>
          </cell>
          <cell r="H30">
            <v>100</v>
          </cell>
          <cell r="I30">
            <v>2.5</v>
          </cell>
          <cell r="J30">
            <v>5</v>
          </cell>
          <cell r="K30">
            <v>100</v>
          </cell>
        </row>
        <row r="31">
          <cell r="B31" t="str">
            <v>Nindra</v>
          </cell>
          <cell r="C31">
            <v>16</v>
          </cell>
          <cell r="D31">
            <v>16</v>
          </cell>
          <cell r="E31">
            <v>100</v>
          </cell>
          <cell r="F31">
            <v>2.5</v>
          </cell>
          <cell r="G31">
            <v>16</v>
          </cell>
          <cell r="H31">
            <v>100</v>
          </cell>
          <cell r="I31">
            <v>2.5</v>
          </cell>
          <cell r="J31">
            <v>5</v>
          </cell>
          <cell r="K31">
            <v>100</v>
          </cell>
        </row>
        <row r="32">
          <cell r="B32" t="str">
            <v>Vedurukuppam</v>
          </cell>
          <cell r="C32">
            <v>14</v>
          </cell>
          <cell r="D32">
            <v>14</v>
          </cell>
          <cell r="E32">
            <v>100</v>
          </cell>
          <cell r="F32">
            <v>2.5</v>
          </cell>
          <cell r="G32">
            <v>14</v>
          </cell>
          <cell r="H32">
            <v>100</v>
          </cell>
          <cell r="I32">
            <v>2.5</v>
          </cell>
          <cell r="J32">
            <v>5</v>
          </cell>
          <cell r="K32">
            <v>100</v>
          </cell>
        </row>
        <row r="33">
          <cell r="B33" t="str">
            <v>Rompicherla</v>
          </cell>
          <cell r="C33">
            <v>14</v>
          </cell>
          <cell r="D33">
            <v>14</v>
          </cell>
          <cell r="E33">
            <v>100</v>
          </cell>
          <cell r="F33">
            <v>2.5</v>
          </cell>
          <cell r="G33">
            <v>14</v>
          </cell>
          <cell r="H33">
            <v>100</v>
          </cell>
          <cell r="I33">
            <v>2.5</v>
          </cell>
          <cell r="J33">
            <v>5</v>
          </cell>
          <cell r="K33">
            <v>100</v>
          </cell>
        </row>
        <row r="34">
          <cell r="B34" t="str">
            <v>Vijayapuram</v>
          </cell>
          <cell r="C34">
            <v>13</v>
          </cell>
          <cell r="D34">
            <v>13</v>
          </cell>
          <cell r="E34">
            <v>100</v>
          </cell>
          <cell r="F34">
            <v>2.5</v>
          </cell>
          <cell r="G34">
            <v>13</v>
          </cell>
          <cell r="H34">
            <v>100</v>
          </cell>
          <cell r="I34">
            <v>2.5</v>
          </cell>
          <cell r="J34">
            <v>5</v>
          </cell>
          <cell r="K34">
            <v>100</v>
          </cell>
        </row>
        <row r="35">
          <cell r="B35" t="str">
            <v>V.Kota UPS</v>
          </cell>
          <cell r="C35">
            <v>29</v>
          </cell>
          <cell r="D35">
            <v>29</v>
          </cell>
          <cell r="E35">
            <v>100</v>
          </cell>
          <cell r="F35">
            <v>2.5</v>
          </cell>
          <cell r="G35">
            <v>28</v>
          </cell>
          <cell r="H35">
            <v>96.551724137931032</v>
          </cell>
          <cell r="I35">
            <v>2.4137931034482758</v>
          </cell>
          <cell r="J35">
            <v>4.9137931034482758</v>
          </cell>
          <cell r="K35">
            <v>98.275862068965523</v>
          </cell>
        </row>
        <row r="36">
          <cell r="B36" t="str">
            <v>Chittoor Taluk PS</v>
          </cell>
          <cell r="C36">
            <v>37</v>
          </cell>
          <cell r="D36">
            <v>36</v>
          </cell>
          <cell r="E36">
            <v>97.297297297297291</v>
          </cell>
          <cell r="F36">
            <v>2.4324324324324325</v>
          </cell>
          <cell r="G36">
            <v>36</v>
          </cell>
          <cell r="H36">
            <v>97.297297297297291</v>
          </cell>
          <cell r="I36">
            <v>2.4324324324324325</v>
          </cell>
          <cell r="J36">
            <v>4.8648648648648649</v>
          </cell>
          <cell r="K36">
            <v>97.297297297297291</v>
          </cell>
        </row>
        <row r="37">
          <cell r="C37">
            <v>900</v>
          </cell>
          <cell r="D37">
            <v>899</v>
          </cell>
          <cell r="E37">
            <v>99.888888888888886</v>
          </cell>
          <cell r="F37">
            <v>2.498012718600954</v>
          </cell>
          <cell r="G37">
            <v>898</v>
          </cell>
          <cell r="H37">
            <v>99.819088865742017</v>
          </cell>
          <cell r="I37">
            <v>2.4954772216435503</v>
          </cell>
          <cell r="J37">
            <v>4.9934899402445048</v>
          </cell>
          <cell r="K37">
            <v>99.869798804890095</v>
          </cell>
        </row>
      </sheetData>
      <sheetData sheetId="16">
        <row r="2">
          <cell r="B2" t="str">
            <v>PS</v>
          </cell>
          <cell r="C2" t="str">
            <v>Is Drone Available</v>
          </cell>
          <cell r="D2" t="str">
            <v>Hours</v>
          </cell>
          <cell r="E2" t="str">
            <v>Min</v>
          </cell>
          <cell r="F2" t="str">
            <v>Sec</v>
          </cell>
          <cell r="G2" t="str">
            <v>Total Seconds</v>
          </cell>
          <cell r="H2" t="str">
            <v>Flying  Value
(80%)</v>
          </cell>
          <cell r="I2" t="str">
            <v>Enforce
ment
( 20%)</v>
          </cell>
          <cell r="J2" t="str">
            <v>Raw Value</v>
          </cell>
        </row>
        <row r="3">
          <cell r="B3" t="str">
            <v>Gudipalli</v>
          </cell>
          <cell r="C3" t="str">
            <v>YES</v>
          </cell>
          <cell r="D3">
            <v>49</v>
          </cell>
          <cell r="G3">
            <v>176400</v>
          </cell>
          <cell r="H3">
            <v>80</v>
          </cell>
          <cell r="I3">
            <v>20</v>
          </cell>
          <cell r="J3">
            <v>100</v>
          </cell>
        </row>
        <row r="4">
          <cell r="B4" t="str">
            <v>S.R.Puram</v>
          </cell>
          <cell r="C4" t="str">
            <v>YES</v>
          </cell>
          <cell r="D4">
            <v>49</v>
          </cell>
          <cell r="G4">
            <v>176400</v>
          </cell>
          <cell r="H4">
            <v>80</v>
          </cell>
          <cell r="I4">
            <v>20</v>
          </cell>
          <cell r="J4">
            <v>100</v>
          </cell>
        </row>
        <row r="5">
          <cell r="B5" t="str">
            <v>Rallabudugur</v>
          </cell>
          <cell r="C5" t="str">
            <v>YES</v>
          </cell>
          <cell r="D5">
            <v>49</v>
          </cell>
          <cell r="G5">
            <v>176400</v>
          </cell>
          <cell r="H5">
            <v>80</v>
          </cell>
          <cell r="I5">
            <v>20</v>
          </cell>
          <cell r="J5">
            <v>100</v>
          </cell>
        </row>
        <row r="6">
          <cell r="B6" t="str">
            <v>Nagari UPS</v>
          </cell>
          <cell r="C6" t="str">
            <v>YES</v>
          </cell>
          <cell r="D6">
            <v>49</v>
          </cell>
          <cell r="G6">
            <v>176400</v>
          </cell>
          <cell r="H6">
            <v>80</v>
          </cell>
          <cell r="I6">
            <v>20</v>
          </cell>
          <cell r="J6">
            <v>100</v>
          </cell>
        </row>
        <row r="7">
          <cell r="B7" t="str">
            <v>Panjani</v>
          </cell>
          <cell r="C7" t="str">
            <v>No</v>
          </cell>
          <cell r="D7">
            <v>49</v>
          </cell>
          <cell r="G7">
            <v>176400</v>
          </cell>
          <cell r="H7">
            <v>80</v>
          </cell>
          <cell r="I7">
            <v>20</v>
          </cell>
          <cell r="J7">
            <v>100</v>
          </cell>
        </row>
        <row r="8">
          <cell r="B8" t="str">
            <v>Gudipala</v>
          </cell>
          <cell r="C8" t="str">
            <v>YES</v>
          </cell>
          <cell r="D8">
            <v>35</v>
          </cell>
          <cell r="G8">
            <v>126000</v>
          </cell>
          <cell r="H8">
            <v>80</v>
          </cell>
          <cell r="J8">
            <v>80</v>
          </cell>
        </row>
        <row r="9">
          <cell r="B9" t="str">
            <v>Bangarupalem UPS</v>
          </cell>
          <cell r="C9" t="str">
            <v>YES</v>
          </cell>
          <cell r="D9">
            <v>35</v>
          </cell>
          <cell r="G9">
            <v>126000</v>
          </cell>
          <cell r="H9">
            <v>80</v>
          </cell>
          <cell r="J9">
            <v>80</v>
          </cell>
        </row>
        <row r="10">
          <cell r="B10" t="str">
            <v>Palasamudram</v>
          </cell>
          <cell r="C10" t="str">
            <v>YES</v>
          </cell>
          <cell r="D10">
            <v>49</v>
          </cell>
          <cell r="G10">
            <v>176400</v>
          </cell>
          <cell r="H10">
            <v>80</v>
          </cell>
          <cell r="J10">
            <v>80</v>
          </cell>
        </row>
        <row r="11">
          <cell r="B11" t="str">
            <v>Vedurukuppam</v>
          </cell>
          <cell r="C11" t="str">
            <v>YES</v>
          </cell>
          <cell r="D11">
            <v>35</v>
          </cell>
          <cell r="G11">
            <v>126000</v>
          </cell>
          <cell r="H11">
            <v>80</v>
          </cell>
          <cell r="J11">
            <v>80</v>
          </cell>
        </row>
        <row r="12">
          <cell r="B12" t="str">
            <v>G.D.Nellore UPS</v>
          </cell>
          <cell r="C12" t="str">
            <v>YES</v>
          </cell>
          <cell r="D12">
            <v>45</v>
          </cell>
          <cell r="G12">
            <v>162000</v>
          </cell>
          <cell r="H12">
            <v>80</v>
          </cell>
          <cell r="J12">
            <v>80</v>
          </cell>
        </row>
        <row r="13">
          <cell r="B13" t="str">
            <v>Narsingarayanipet(N.R.Pet)</v>
          </cell>
          <cell r="C13" t="str">
            <v>YES</v>
          </cell>
          <cell r="D13">
            <v>49</v>
          </cell>
          <cell r="G13">
            <v>176400</v>
          </cell>
          <cell r="H13">
            <v>80</v>
          </cell>
          <cell r="J13">
            <v>80</v>
          </cell>
        </row>
        <row r="14">
          <cell r="B14" t="str">
            <v>Gangavaram UPS</v>
          </cell>
          <cell r="C14" t="str">
            <v>YES</v>
          </cell>
          <cell r="D14">
            <v>42</v>
          </cell>
          <cell r="G14">
            <v>151200</v>
          </cell>
          <cell r="H14">
            <v>80</v>
          </cell>
          <cell r="J14">
            <v>80</v>
          </cell>
        </row>
        <row r="15">
          <cell r="B15" t="str">
            <v>Palamaner UPS</v>
          </cell>
          <cell r="C15" t="str">
            <v>YES</v>
          </cell>
          <cell r="D15">
            <v>35</v>
          </cell>
          <cell r="G15">
            <v>126000</v>
          </cell>
          <cell r="H15">
            <v>80</v>
          </cell>
          <cell r="J15">
            <v>80</v>
          </cell>
        </row>
        <row r="16">
          <cell r="B16" t="str">
            <v>Chittoor I Town UPS</v>
          </cell>
          <cell r="C16" t="str">
            <v>YES</v>
          </cell>
          <cell r="D16">
            <v>41</v>
          </cell>
          <cell r="G16">
            <v>147600</v>
          </cell>
          <cell r="H16">
            <v>80</v>
          </cell>
          <cell r="J16">
            <v>80</v>
          </cell>
        </row>
        <row r="17">
          <cell r="B17" t="str">
            <v>Yadamari</v>
          </cell>
          <cell r="C17" t="str">
            <v>No</v>
          </cell>
          <cell r="D17">
            <v>35</v>
          </cell>
          <cell r="G17">
            <v>126000</v>
          </cell>
          <cell r="H17">
            <v>80</v>
          </cell>
          <cell r="J17">
            <v>80</v>
          </cell>
        </row>
        <row r="18">
          <cell r="B18" t="str">
            <v>Kanipakam</v>
          </cell>
          <cell r="C18" t="str">
            <v>YES</v>
          </cell>
          <cell r="D18">
            <v>38</v>
          </cell>
          <cell r="G18">
            <v>136800</v>
          </cell>
          <cell r="H18">
            <v>80</v>
          </cell>
          <cell r="J18">
            <v>80</v>
          </cell>
        </row>
        <row r="19">
          <cell r="B19" t="str">
            <v>Puthalapattu UPS</v>
          </cell>
          <cell r="C19" t="str">
            <v>YES</v>
          </cell>
          <cell r="D19">
            <v>49</v>
          </cell>
          <cell r="G19">
            <v>176400</v>
          </cell>
          <cell r="H19">
            <v>80</v>
          </cell>
          <cell r="J19">
            <v>80</v>
          </cell>
        </row>
        <row r="20">
          <cell r="B20" t="str">
            <v>Nindra</v>
          </cell>
          <cell r="C20" t="str">
            <v>YES</v>
          </cell>
          <cell r="D20">
            <v>28</v>
          </cell>
          <cell r="G20">
            <v>100800</v>
          </cell>
          <cell r="H20">
            <v>68</v>
          </cell>
          <cell r="J20">
            <v>68</v>
          </cell>
        </row>
        <row r="21">
          <cell r="B21" t="str">
            <v>Kuppam UPS</v>
          </cell>
          <cell r="C21" t="str">
            <v>YES</v>
          </cell>
          <cell r="D21">
            <v>28</v>
          </cell>
          <cell r="G21">
            <v>100800</v>
          </cell>
          <cell r="H21">
            <v>68</v>
          </cell>
          <cell r="J21">
            <v>68</v>
          </cell>
        </row>
        <row r="22">
          <cell r="B22" t="str">
            <v>Baireddypalle</v>
          </cell>
          <cell r="C22" t="str">
            <v>No</v>
          </cell>
          <cell r="D22">
            <v>28</v>
          </cell>
          <cell r="G22">
            <v>100800</v>
          </cell>
          <cell r="H22">
            <v>68</v>
          </cell>
          <cell r="J22">
            <v>68</v>
          </cell>
        </row>
        <row r="23">
          <cell r="B23" t="str">
            <v>Chittoor II Town UPS</v>
          </cell>
          <cell r="C23" t="str">
            <v>YES</v>
          </cell>
          <cell r="D23">
            <v>27</v>
          </cell>
          <cell r="G23">
            <v>97200</v>
          </cell>
          <cell r="H23">
            <v>66</v>
          </cell>
          <cell r="J23">
            <v>66</v>
          </cell>
        </row>
        <row r="24">
          <cell r="B24" t="str">
            <v>Chittoor Taluk PS</v>
          </cell>
          <cell r="C24" t="str">
            <v>No</v>
          </cell>
          <cell r="D24">
            <v>25</v>
          </cell>
          <cell r="G24">
            <v>90000</v>
          </cell>
          <cell r="H24">
            <v>63</v>
          </cell>
          <cell r="J24">
            <v>63</v>
          </cell>
        </row>
        <row r="25">
          <cell r="B25" t="str">
            <v>Kallur</v>
          </cell>
          <cell r="C25" t="str">
            <v>No</v>
          </cell>
          <cell r="D25">
            <v>12</v>
          </cell>
          <cell r="G25">
            <v>43200</v>
          </cell>
          <cell r="H25">
            <v>41</v>
          </cell>
          <cell r="I25">
            <v>20</v>
          </cell>
          <cell r="J25">
            <v>61</v>
          </cell>
        </row>
        <row r="26">
          <cell r="B26" t="str">
            <v>K. Nagar</v>
          </cell>
          <cell r="C26" t="str">
            <v>YES</v>
          </cell>
          <cell r="D26">
            <v>21</v>
          </cell>
          <cell r="G26">
            <v>75600</v>
          </cell>
          <cell r="H26">
            <v>56</v>
          </cell>
          <cell r="J26">
            <v>56</v>
          </cell>
        </row>
        <row r="27">
          <cell r="B27" t="str">
            <v>V.Kota UPS</v>
          </cell>
          <cell r="C27" t="str">
            <v>YES</v>
          </cell>
          <cell r="D27">
            <v>21</v>
          </cell>
          <cell r="G27">
            <v>75600</v>
          </cell>
          <cell r="H27">
            <v>56</v>
          </cell>
          <cell r="J27">
            <v>56</v>
          </cell>
        </row>
        <row r="28">
          <cell r="B28" t="str">
            <v>Ramakuppam</v>
          </cell>
          <cell r="C28" t="str">
            <v>YES</v>
          </cell>
          <cell r="D28">
            <v>21</v>
          </cell>
          <cell r="G28">
            <v>75600</v>
          </cell>
          <cell r="H28">
            <v>56</v>
          </cell>
          <cell r="J28">
            <v>56</v>
          </cell>
        </row>
        <row r="29">
          <cell r="B29" t="str">
            <v>Vijayapuram</v>
          </cell>
          <cell r="C29" t="str">
            <v>No</v>
          </cell>
          <cell r="D29">
            <v>4</v>
          </cell>
          <cell r="G29">
            <v>14400</v>
          </cell>
          <cell r="H29">
            <v>27</v>
          </cell>
          <cell r="J29">
            <v>27</v>
          </cell>
        </row>
        <row r="30">
          <cell r="B30" t="str">
            <v>Thavanampalle</v>
          </cell>
          <cell r="C30" t="str">
            <v>No</v>
          </cell>
          <cell r="G30">
            <v>-1</v>
          </cell>
          <cell r="H30">
            <v>20</v>
          </cell>
          <cell r="J30">
            <v>20</v>
          </cell>
        </row>
        <row r="31">
          <cell r="B31" t="str">
            <v>Penumur</v>
          </cell>
          <cell r="C31" t="str">
            <v>No</v>
          </cell>
          <cell r="G31">
            <v>-1</v>
          </cell>
          <cell r="H31">
            <v>20</v>
          </cell>
          <cell r="J31">
            <v>20</v>
          </cell>
        </row>
        <row r="32">
          <cell r="B32" t="str">
            <v>CCS Chittoor UPS</v>
          </cell>
          <cell r="C32" t="str">
            <v>No</v>
          </cell>
          <cell r="G32">
            <v>-1</v>
          </cell>
          <cell r="H32">
            <v>20</v>
          </cell>
          <cell r="J32">
            <v>20</v>
          </cell>
        </row>
        <row r="33">
          <cell r="B33" t="str">
            <v>Chittoor Traffic UPS</v>
          </cell>
          <cell r="C33" t="str">
            <v>No</v>
          </cell>
          <cell r="G33">
            <v>-1</v>
          </cell>
          <cell r="H33">
            <v>20</v>
          </cell>
          <cell r="J33">
            <v>20</v>
          </cell>
        </row>
        <row r="34">
          <cell r="B34" t="str">
            <v>Irala</v>
          </cell>
          <cell r="C34" t="str">
            <v>No</v>
          </cell>
          <cell r="G34">
            <v>-1</v>
          </cell>
          <cell r="H34">
            <v>20</v>
          </cell>
          <cell r="J34">
            <v>20</v>
          </cell>
        </row>
        <row r="35">
          <cell r="B35" t="str">
            <v>Mahila UPS, Chittoor</v>
          </cell>
          <cell r="C35" t="str">
            <v>No</v>
          </cell>
          <cell r="G35">
            <v>-1</v>
          </cell>
          <cell r="H35">
            <v>20</v>
          </cell>
          <cell r="J35">
            <v>20</v>
          </cell>
        </row>
        <row r="36">
          <cell r="B36" t="str">
            <v>Rompicherla</v>
          </cell>
          <cell r="C36" t="str">
            <v>No</v>
          </cell>
          <cell r="G36">
            <v>-1</v>
          </cell>
          <cell r="H36">
            <v>20</v>
          </cell>
          <cell r="J36">
            <v>20</v>
          </cell>
        </row>
      </sheetData>
      <sheetData sheetId="17">
        <row r="2">
          <cell r="B2" t="str">
            <v>PS</v>
          </cell>
          <cell r="C2" t="str">
            <v>Total Tabs
 Config</v>
          </cell>
          <cell r="D2" t="str">
            <v>ERU Connected Live</v>
          </cell>
          <cell r="E2" t="str">
            <v>Dis-connected Tabs</v>
          </cell>
          <cell r="F2" t="str">
            <v>% of Disconnected Tabs</v>
          </cell>
          <cell r="G2" t="str">
            <v>Raw Value</v>
          </cell>
          <cell r="H2" t="str">
            <v>Marks</v>
          </cell>
        </row>
        <row r="3">
          <cell r="B3" t="str">
            <v>Panjani</v>
          </cell>
          <cell r="C3">
            <v>3</v>
          </cell>
          <cell r="D3">
            <v>3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Chittoor II Town UPS</v>
          </cell>
          <cell r="C4">
            <v>5</v>
          </cell>
          <cell r="D4">
            <v>5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Nagari UPS</v>
          </cell>
          <cell r="C5">
            <v>4</v>
          </cell>
          <cell r="D5">
            <v>4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Bangarupalem UPS</v>
          </cell>
          <cell r="C6">
            <v>4</v>
          </cell>
          <cell r="D6">
            <v>4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K. Nagar</v>
          </cell>
          <cell r="C7">
            <v>4</v>
          </cell>
          <cell r="D7">
            <v>4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Rallabudugur</v>
          </cell>
          <cell r="C8">
            <v>4</v>
          </cell>
          <cell r="D8">
            <v>4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G.D.Nellore UPS</v>
          </cell>
          <cell r="C9">
            <v>4</v>
          </cell>
          <cell r="D9">
            <v>4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Palamaner UPS</v>
          </cell>
          <cell r="C10">
            <v>4</v>
          </cell>
          <cell r="D10">
            <v>4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V.Kota UPS</v>
          </cell>
          <cell r="C11">
            <v>4</v>
          </cell>
          <cell r="D11">
            <v>4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Kuppam UPS</v>
          </cell>
          <cell r="C12">
            <v>4</v>
          </cell>
          <cell r="D12">
            <v>4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Gangavaram UPS</v>
          </cell>
          <cell r="C13">
            <v>4</v>
          </cell>
          <cell r="D13">
            <v>4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Penumur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Yadamari</v>
          </cell>
          <cell r="C15">
            <v>3</v>
          </cell>
          <cell r="D15">
            <v>3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Nindra</v>
          </cell>
          <cell r="C16">
            <v>3</v>
          </cell>
          <cell r="D16">
            <v>3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S.R.Puram</v>
          </cell>
          <cell r="C17">
            <v>3</v>
          </cell>
          <cell r="D17">
            <v>3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Kallur</v>
          </cell>
          <cell r="C18">
            <v>3</v>
          </cell>
          <cell r="D18">
            <v>3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Kanipakam</v>
          </cell>
          <cell r="C19">
            <v>3</v>
          </cell>
          <cell r="D19">
            <v>3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Gudipalli</v>
          </cell>
          <cell r="C20">
            <v>3</v>
          </cell>
          <cell r="D20">
            <v>3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Narsingarayanipet(N.R.Pet)</v>
          </cell>
          <cell r="C21">
            <v>3</v>
          </cell>
          <cell r="D21">
            <v>3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Baireddypalle</v>
          </cell>
          <cell r="C22">
            <v>3</v>
          </cell>
          <cell r="D22">
            <v>3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Rompicherla</v>
          </cell>
          <cell r="C23">
            <v>3</v>
          </cell>
          <cell r="D23">
            <v>3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Ramakuppam</v>
          </cell>
          <cell r="C24">
            <v>3</v>
          </cell>
          <cell r="D24">
            <v>3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Vijayapuram</v>
          </cell>
          <cell r="C25">
            <v>3</v>
          </cell>
          <cell r="D25">
            <v>3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Vedurukuppam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Gudipala</v>
          </cell>
          <cell r="C27">
            <v>3</v>
          </cell>
          <cell r="D27">
            <v>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Thavanampalle</v>
          </cell>
          <cell r="C28">
            <v>2</v>
          </cell>
          <cell r="D28">
            <v>2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Irala</v>
          </cell>
          <cell r="C29">
            <v>2</v>
          </cell>
          <cell r="D29">
            <v>2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Chittoor Traffic UPS</v>
          </cell>
          <cell r="C30">
            <v>1</v>
          </cell>
          <cell r="D30">
            <v>1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CCS Chittoor UPS</v>
          </cell>
          <cell r="C31">
            <v>1</v>
          </cell>
          <cell r="D31">
            <v>1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Mahila UPS, Chittoor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Chittoor Taluk PS</v>
          </cell>
          <cell r="C33">
            <v>6</v>
          </cell>
          <cell r="D33">
            <v>5</v>
          </cell>
          <cell r="E33">
            <v>1</v>
          </cell>
          <cell r="F33">
            <v>16.666666666666664</v>
          </cell>
          <cell r="G33">
            <v>83.333333333333343</v>
          </cell>
          <cell r="H33">
            <v>4.166666666666667</v>
          </cell>
        </row>
        <row r="34">
          <cell r="B34" t="str">
            <v>Chittoor I Town UPS</v>
          </cell>
          <cell r="C34">
            <v>6</v>
          </cell>
          <cell r="D34">
            <v>4</v>
          </cell>
          <cell r="E34">
            <v>2</v>
          </cell>
          <cell r="F34">
            <v>33.333333333333329</v>
          </cell>
          <cell r="G34">
            <v>66.666666666666657</v>
          </cell>
          <cell r="H34">
            <v>3.333333333333333</v>
          </cell>
        </row>
        <row r="35">
          <cell r="B35" t="str">
            <v>Palasamudram</v>
          </cell>
          <cell r="C35">
            <v>3</v>
          </cell>
          <cell r="D35">
            <v>2</v>
          </cell>
          <cell r="E35">
            <v>1</v>
          </cell>
          <cell r="F35">
            <v>33.333333333333329</v>
          </cell>
          <cell r="G35">
            <v>66.666666666666657</v>
          </cell>
          <cell r="H35">
            <v>3.333333333333333</v>
          </cell>
        </row>
        <row r="36">
          <cell r="B36" t="str">
            <v>Puthalapattu UPS</v>
          </cell>
          <cell r="C36">
            <v>4</v>
          </cell>
          <cell r="D36">
            <v>2</v>
          </cell>
          <cell r="E36">
            <v>2</v>
          </cell>
          <cell r="F36">
            <v>50</v>
          </cell>
          <cell r="G36">
            <v>50</v>
          </cell>
          <cell r="H36">
            <v>2.5</v>
          </cell>
        </row>
        <row r="37">
          <cell r="C37">
            <v>111</v>
          </cell>
          <cell r="D37">
            <v>105</v>
          </cell>
          <cell r="E37">
            <v>6</v>
          </cell>
          <cell r="F37">
            <v>5.7142857142857082</v>
          </cell>
          <cell r="G37">
            <v>96.078431372549019</v>
          </cell>
          <cell r="H37">
            <v>4.8039215686274517</v>
          </cell>
        </row>
      </sheetData>
      <sheetData sheetId="18">
        <row r="2">
          <cell r="B2" t="str">
            <v>PS</v>
          </cell>
          <cell r="C2" t="str">
            <v>Total calls Assigned to PS</v>
          </cell>
          <cell r="D2" t="str">
            <v>No. of Calls Assigned to Tabs by PS</v>
          </cell>
          <cell r="E2" t="str">
            <v>No. of Calls not Assigned to Tabs by PS</v>
          </cell>
          <cell r="F2" t="str">
            <v xml:space="preserve"> Average Response Time
(HH:MM:SS)</v>
          </cell>
          <cell r="G2" t="str">
            <v>Raw Value</v>
          </cell>
          <cell r="H2" t="str">
            <v>Marks</v>
          </cell>
        </row>
        <row r="3">
          <cell r="B3" t="str">
            <v>Irala</v>
          </cell>
          <cell r="C3">
            <v>2</v>
          </cell>
          <cell r="D3">
            <v>2</v>
          </cell>
          <cell r="E3">
            <v>0</v>
          </cell>
          <cell r="F3">
            <v>2.2916666666666667E-3</v>
          </cell>
          <cell r="G3">
            <v>100</v>
          </cell>
          <cell r="H3">
            <v>5</v>
          </cell>
        </row>
        <row r="4">
          <cell r="B4" t="str">
            <v>Penumur</v>
          </cell>
          <cell r="C4">
            <v>4</v>
          </cell>
          <cell r="D4">
            <v>4</v>
          </cell>
          <cell r="E4">
            <v>0</v>
          </cell>
          <cell r="F4">
            <v>2.5462962962962961E-3</v>
          </cell>
          <cell r="G4">
            <v>95.22</v>
          </cell>
          <cell r="H4">
            <v>4.76</v>
          </cell>
        </row>
        <row r="5">
          <cell r="B5" t="str">
            <v>Vijayapuram</v>
          </cell>
          <cell r="C5">
            <v>4</v>
          </cell>
          <cell r="D5">
            <v>4</v>
          </cell>
          <cell r="E5">
            <v>0</v>
          </cell>
          <cell r="F5">
            <v>2.673611111111111E-3</v>
          </cell>
          <cell r="G5">
            <v>92.83</v>
          </cell>
          <cell r="H5">
            <v>4.6399999999999997</v>
          </cell>
        </row>
        <row r="6">
          <cell r="B6" t="str">
            <v>Gudipalli</v>
          </cell>
          <cell r="C6">
            <v>13</v>
          </cell>
          <cell r="D6">
            <v>13</v>
          </cell>
          <cell r="E6">
            <v>0</v>
          </cell>
          <cell r="F6">
            <v>2.7777777777777779E-3</v>
          </cell>
          <cell r="G6">
            <v>90.87</v>
          </cell>
          <cell r="H6">
            <v>4.54</v>
          </cell>
        </row>
        <row r="7">
          <cell r="B7" t="str">
            <v>Vedurukuppam</v>
          </cell>
          <cell r="C7">
            <v>4</v>
          </cell>
          <cell r="D7">
            <v>4</v>
          </cell>
          <cell r="E7">
            <v>0</v>
          </cell>
          <cell r="F7">
            <v>2.9745370370370373E-3</v>
          </cell>
          <cell r="G7">
            <v>87.17</v>
          </cell>
          <cell r="H7">
            <v>4.3600000000000003</v>
          </cell>
        </row>
        <row r="8">
          <cell r="B8" t="str">
            <v>K. Nagar</v>
          </cell>
          <cell r="C8">
            <v>9</v>
          </cell>
          <cell r="D8">
            <v>9</v>
          </cell>
          <cell r="E8">
            <v>0</v>
          </cell>
          <cell r="F8">
            <v>3.0092592592592588E-3</v>
          </cell>
          <cell r="G8">
            <v>86.52</v>
          </cell>
          <cell r="H8">
            <v>4.33</v>
          </cell>
        </row>
        <row r="9">
          <cell r="B9" t="str">
            <v>Baireddypalle</v>
          </cell>
          <cell r="C9">
            <v>8</v>
          </cell>
          <cell r="D9">
            <v>8</v>
          </cell>
          <cell r="E9">
            <v>0</v>
          </cell>
          <cell r="F9">
            <v>3.1597222222222222E-3</v>
          </cell>
          <cell r="G9">
            <v>83.7</v>
          </cell>
          <cell r="H9">
            <v>4.18</v>
          </cell>
        </row>
        <row r="10">
          <cell r="B10" t="str">
            <v>Thavanampalle</v>
          </cell>
          <cell r="C10">
            <v>8</v>
          </cell>
          <cell r="D10">
            <v>8</v>
          </cell>
          <cell r="E10">
            <v>0</v>
          </cell>
          <cell r="F10">
            <v>3.1712962962962958E-3</v>
          </cell>
          <cell r="G10">
            <v>83.48</v>
          </cell>
          <cell r="H10">
            <v>4.17</v>
          </cell>
        </row>
        <row r="11">
          <cell r="B11" t="str">
            <v>Rompicherla</v>
          </cell>
          <cell r="C11">
            <v>4</v>
          </cell>
          <cell r="D11">
            <v>4</v>
          </cell>
          <cell r="E11">
            <v>0</v>
          </cell>
          <cell r="F11">
            <v>3.3449074074074071E-3</v>
          </cell>
          <cell r="G11">
            <v>80.22</v>
          </cell>
          <cell r="H11">
            <v>4.01</v>
          </cell>
        </row>
        <row r="12">
          <cell r="B12" t="str">
            <v>V.Kota UPS</v>
          </cell>
          <cell r="C12">
            <v>5</v>
          </cell>
          <cell r="D12">
            <v>5</v>
          </cell>
          <cell r="E12">
            <v>0</v>
          </cell>
          <cell r="F12">
            <v>3.3564814814814811E-3</v>
          </cell>
          <cell r="G12">
            <v>80</v>
          </cell>
          <cell r="H12">
            <v>4</v>
          </cell>
        </row>
        <row r="13">
          <cell r="B13" t="str">
            <v>Chittoor I Town UPS</v>
          </cell>
          <cell r="C13">
            <v>31</v>
          </cell>
          <cell r="D13">
            <v>27</v>
          </cell>
          <cell r="E13">
            <v>4</v>
          </cell>
          <cell r="F13">
            <v>3.5416666666666665E-3</v>
          </cell>
          <cell r="G13">
            <v>76.52</v>
          </cell>
          <cell r="H13">
            <v>3.83</v>
          </cell>
        </row>
        <row r="14">
          <cell r="B14" t="str">
            <v>Ramakuppam</v>
          </cell>
          <cell r="C14">
            <v>4</v>
          </cell>
          <cell r="D14">
            <v>4</v>
          </cell>
          <cell r="E14">
            <v>0</v>
          </cell>
          <cell r="F14">
            <v>3.5532407407407405E-3</v>
          </cell>
          <cell r="G14">
            <v>76.3</v>
          </cell>
          <cell r="H14">
            <v>3.82</v>
          </cell>
        </row>
        <row r="15">
          <cell r="B15" t="str">
            <v>Gudipala</v>
          </cell>
          <cell r="C15">
            <v>6</v>
          </cell>
          <cell r="D15">
            <v>6</v>
          </cell>
          <cell r="E15">
            <v>0</v>
          </cell>
          <cell r="F15">
            <v>3.6226851851851854E-3</v>
          </cell>
          <cell r="G15">
            <v>75</v>
          </cell>
          <cell r="H15">
            <v>3.75</v>
          </cell>
        </row>
        <row r="16">
          <cell r="B16" t="str">
            <v>Rallabudugur</v>
          </cell>
          <cell r="C16">
            <v>4</v>
          </cell>
          <cell r="D16">
            <v>4</v>
          </cell>
          <cell r="E16">
            <v>0</v>
          </cell>
          <cell r="F16">
            <v>3.8078703703703707E-3</v>
          </cell>
          <cell r="G16">
            <v>71.52</v>
          </cell>
          <cell r="H16">
            <v>3.58</v>
          </cell>
        </row>
        <row r="17">
          <cell r="B17" t="str">
            <v>Kanipakam</v>
          </cell>
          <cell r="C17">
            <v>4</v>
          </cell>
          <cell r="D17">
            <v>4</v>
          </cell>
          <cell r="E17">
            <v>0</v>
          </cell>
          <cell r="F17">
            <v>3.8541666666666668E-3</v>
          </cell>
          <cell r="G17">
            <v>70.650000000000006</v>
          </cell>
          <cell r="H17">
            <v>3.53</v>
          </cell>
        </row>
        <row r="18">
          <cell r="B18" t="str">
            <v>Nindra</v>
          </cell>
          <cell r="C18">
            <v>3</v>
          </cell>
          <cell r="D18">
            <v>3</v>
          </cell>
          <cell r="E18">
            <v>0</v>
          </cell>
          <cell r="F18">
            <v>4.2013888888888891E-3</v>
          </cell>
          <cell r="G18">
            <v>64.13</v>
          </cell>
          <cell r="H18">
            <v>3.21</v>
          </cell>
        </row>
        <row r="19">
          <cell r="B19" t="str">
            <v>Chittoor Traffic UPS</v>
          </cell>
          <cell r="C19">
            <v>3</v>
          </cell>
          <cell r="D19">
            <v>3</v>
          </cell>
          <cell r="E19">
            <v>0</v>
          </cell>
          <cell r="F19">
            <v>4.2245370370370371E-3</v>
          </cell>
          <cell r="G19">
            <v>63.7</v>
          </cell>
          <cell r="H19">
            <v>3.18</v>
          </cell>
        </row>
        <row r="20">
          <cell r="B20" t="str">
            <v>G.D.Nellore UPS</v>
          </cell>
          <cell r="C20">
            <v>7</v>
          </cell>
          <cell r="D20">
            <v>7</v>
          </cell>
          <cell r="E20">
            <v>0</v>
          </cell>
          <cell r="F20">
            <v>4.2592592592592595E-3</v>
          </cell>
          <cell r="G20">
            <v>63.04</v>
          </cell>
          <cell r="H20">
            <v>3.15</v>
          </cell>
        </row>
        <row r="21">
          <cell r="B21" t="str">
            <v>Chittoor II Town UPS</v>
          </cell>
          <cell r="C21">
            <v>32</v>
          </cell>
          <cell r="D21">
            <v>29</v>
          </cell>
          <cell r="E21">
            <v>3</v>
          </cell>
          <cell r="F21">
            <v>4.2939814814814811E-3</v>
          </cell>
          <cell r="G21">
            <v>62.39</v>
          </cell>
          <cell r="H21">
            <v>3.12</v>
          </cell>
        </row>
        <row r="22">
          <cell r="B22" t="str">
            <v>Nagari UPS</v>
          </cell>
          <cell r="C22">
            <v>6</v>
          </cell>
          <cell r="D22">
            <v>6</v>
          </cell>
          <cell r="E22">
            <v>0</v>
          </cell>
          <cell r="F22">
            <v>4.4328703703703709E-3</v>
          </cell>
          <cell r="G22">
            <v>59.78</v>
          </cell>
          <cell r="H22">
            <v>2.99</v>
          </cell>
        </row>
        <row r="23">
          <cell r="B23" t="str">
            <v>Puthalapattu UPS</v>
          </cell>
          <cell r="C23">
            <v>8</v>
          </cell>
          <cell r="D23">
            <v>8</v>
          </cell>
          <cell r="E23">
            <v>0</v>
          </cell>
          <cell r="F23">
            <v>4.4791666666666669E-3</v>
          </cell>
          <cell r="G23">
            <v>58.91</v>
          </cell>
          <cell r="H23">
            <v>2.95</v>
          </cell>
        </row>
        <row r="24">
          <cell r="B24" t="str">
            <v>Yadamari</v>
          </cell>
          <cell r="C24">
            <v>8</v>
          </cell>
          <cell r="D24">
            <v>8</v>
          </cell>
          <cell r="E24">
            <v>0</v>
          </cell>
          <cell r="F24">
            <v>4.4907407407407405E-3</v>
          </cell>
          <cell r="G24">
            <v>58.7</v>
          </cell>
          <cell r="H24">
            <v>2.93</v>
          </cell>
        </row>
        <row r="25">
          <cell r="B25" t="str">
            <v>S.R.Puram</v>
          </cell>
          <cell r="C25">
            <v>6</v>
          </cell>
          <cell r="D25">
            <v>6</v>
          </cell>
          <cell r="E25">
            <v>0</v>
          </cell>
          <cell r="F25">
            <v>4.5833333333333334E-3</v>
          </cell>
          <cell r="G25">
            <v>56.96</v>
          </cell>
          <cell r="H25">
            <v>2.85</v>
          </cell>
        </row>
        <row r="26">
          <cell r="B26" t="str">
            <v>Kuppam UPS</v>
          </cell>
          <cell r="C26">
            <v>21</v>
          </cell>
          <cell r="D26">
            <v>21</v>
          </cell>
          <cell r="E26">
            <v>0</v>
          </cell>
          <cell r="F26">
            <v>4.7106481481481478E-3</v>
          </cell>
          <cell r="G26">
            <v>54.57</v>
          </cell>
          <cell r="H26">
            <v>2.73</v>
          </cell>
        </row>
        <row r="27">
          <cell r="B27" t="str">
            <v>Gangavaram UPS</v>
          </cell>
          <cell r="C27">
            <v>6</v>
          </cell>
          <cell r="D27">
            <v>6</v>
          </cell>
          <cell r="E27">
            <v>0</v>
          </cell>
          <cell r="F27">
            <v>4.8611111111111112E-3</v>
          </cell>
          <cell r="G27">
            <v>51.74</v>
          </cell>
          <cell r="H27">
            <v>2.59</v>
          </cell>
        </row>
        <row r="28">
          <cell r="B28" t="str">
            <v>CCS Chittoor UPS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50</v>
          </cell>
          <cell r="H28">
            <v>2.5</v>
          </cell>
        </row>
        <row r="29">
          <cell r="B29" t="str">
            <v>Mahila UPS, Chittoor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50</v>
          </cell>
          <cell r="H29">
            <v>2.5</v>
          </cell>
        </row>
        <row r="30">
          <cell r="B30" t="str">
            <v>Palamaner UPS</v>
          </cell>
          <cell r="C30">
            <v>23</v>
          </cell>
          <cell r="D30">
            <v>23</v>
          </cell>
          <cell r="E30">
            <v>0</v>
          </cell>
          <cell r="F30">
            <v>5.2777777777777771E-3</v>
          </cell>
          <cell r="G30">
            <v>43.91</v>
          </cell>
          <cell r="H30">
            <v>2.2000000000000002</v>
          </cell>
        </row>
        <row r="31">
          <cell r="B31" t="str">
            <v>Bangarupalem UPS</v>
          </cell>
          <cell r="C31">
            <v>16</v>
          </cell>
          <cell r="D31">
            <v>16</v>
          </cell>
          <cell r="E31">
            <v>0</v>
          </cell>
          <cell r="F31">
            <v>5.347222222222222E-3</v>
          </cell>
          <cell r="G31">
            <v>42.61</v>
          </cell>
          <cell r="H31">
            <v>2.13</v>
          </cell>
        </row>
        <row r="32">
          <cell r="B32" t="str">
            <v>Narsingarayanipet(N.R.Pet)</v>
          </cell>
          <cell r="C32">
            <v>3</v>
          </cell>
          <cell r="D32">
            <v>3</v>
          </cell>
          <cell r="E32">
            <v>0</v>
          </cell>
          <cell r="F32">
            <v>5.8449074074074072E-3</v>
          </cell>
          <cell r="G32">
            <v>33.26</v>
          </cell>
          <cell r="H32">
            <v>1.66</v>
          </cell>
        </row>
        <row r="33">
          <cell r="B33" t="str">
            <v>Kallur</v>
          </cell>
          <cell r="C33">
            <v>7</v>
          </cell>
          <cell r="D33">
            <v>7</v>
          </cell>
          <cell r="E33">
            <v>0</v>
          </cell>
          <cell r="F33">
            <v>5.9143518518518521E-3</v>
          </cell>
          <cell r="G33">
            <v>31.96</v>
          </cell>
          <cell r="H33">
            <v>1.6</v>
          </cell>
        </row>
        <row r="34">
          <cell r="B34" t="str">
            <v>Chittoor Taluk PS</v>
          </cell>
          <cell r="C34">
            <v>8</v>
          </cell>
          <cell r="D34">
            <v>8</v>
          </cell>
          <cell r="E34">
            <v>0</v>
          </cell>
          <cell r="F34">
            <v>7.1180555555555554E-3</v>
          </cell>
          <cell r="G34">
            <v>9.35</v>
          </cell>
          <cell r="H34">
            <v>0.47</v>
          </cell>
        </row>
        <row r="35">
          <cell r="B35" t="str">
            <v>Palasamudram</v>
          </cell>
          <cell r="C35">
            <v>1</v>
          </cell>
          <cell r="D35">
            <v>1</v>
          </cell>
          <cell r="E35">
            <v>0</v>
          </cell>
          <cell r="F35">
            <v>7.4421296296296293E-3</v>
          </cell>
          <cell r="G35">
            <v>3.26</v>
          </cell>
          <cell r="H35">
            <v>0.16</v>
          </cell>
        </row>
        <row r="36">
          <cell r="B36" t="str">
            <v>Panjani</v>
          </cell>
          <cell r="C36">
            <v>7</v>
          </cell>
          <cell r="D36">
            <v>7</v>
          </cell>
          <cell r="E36">
            <v>0</v>
          </cell>
          <cell r="F36">
            <v>7.6157407407407415E-3</v>
          </cell>
          <cell r="G36">
            <v>0</v>
          </cell>
          <cell r="H36">
            <v>0</v>
          </cell>
        </row>
        <row r="37">
          <cell r="C37">
            <v>275</v>
          </cell>
          <cell r="D37">
            <v>268</v>
          </cell>
          <cell r="E37">
            <v>7</v>
          </cell>
          <cell r="F37">
            <v>4.023011982570805E-3</v>
          </cell>
          <cell r="G37">
            <v>62.007941176470602</v>
          </cell>
          <cell r="H37">
            <v>3.1005882352941176</v>
          </cell>
        </row>
      </sheetData>
      <sheetData sheetId="19">
        <row r="2">
          <cell r="B2" t="str">
            <v>PS</v>
          </cell>
          <cell r="C2" t="str">
            <v>CCTV 360 PS</v>
          </cell>
          <cell r="D2">
            <v>46288</v>
          </cell>
          <cell r="F2">
            <v>46289</v>
          </cell>
          <cell r="H2">
            <v>46290</v>
          </cell>
          <cell r="J2">
            <v>46291</v>
          </cell>
          <cell r="L2">
            <v>46292</v>
          </cell>
          <cell r="N2">
            <v>46293</v>
          </cell>
          <cell r="P2">
            <v>46294</v>
          </cell>
          <cell r="R2" t="str">
            <v>MARKS</v>
          </cell>
          <cell r="S2" t="str">
            <v>RAW VALUE</v>
          </cell>
        </row>
        <row r="3">
          <cell r="D3" t="str">
            <v>WEB</v>
          </cell>
          <cell r="E3" t="str">
            <v>MOBILE</v>
          </cell>
          <cell r="F3" t="str">
            <v>WEB</v>
          </cell>
          <cell r="G3" t="str">
            <v>MOBILE</v>
          </cell>
          <cell r="H3" t="str">
            <v>WEB</v>
          </cell>
          <cell r="I3" t="str">
            <v>MOBILE</v>
          </cell>
          <cell r="J3" t="str">
            <v>WEB</v>
          </cell>
          <cell r="K3" t="str">
            <v>MOBILE</v>
          </cell>
          <cell r="L3" t="str">
            <v>WEB</v>
          </cell>
          <cell r="M3" t="str">
            <v>MOBILE</v>
          </cell>
          <cell r="N3" t="str">
            <v>WEB</v>
          </cell>
          <cell r="O3" t="str">
            <v>MOBILE</v>
          </cell>
          <cell r="P3" t="str">
            <v>WEB</v>
          </cell>
          <cell r="Q3" t="str">
            <v>MOBILE</v>
          </cell>
        </row>
        <row r="4">
          <cell r="B4" t="str">
            <v>Baireddypalle</v>
          </cell>
          <cell r="C4" t="str">
            <v>Baireddypalle PS</v>
          </cell>
          <cell r="D4">
            <v>0</v>
          </cell>
          <cell r="E4">
            <v>0</v>
          </cell>
          <cell r="F4">
            <v>96</v>
          </cell>
          <cell r="G4">
            <v>3</v>
          </cell>
          <cell r="H4">
            <v>42</v>
          </cell>
          <cell r="I4">
            <v>9</v>
          </cell>
          <cell r="J4">
            <v>4</v>
          </cell>
          <cell r="K4">
            <v>5</v>
          </cell>
          <cell r="L4">
            <v>5</v>
          </cell>
          <cell r="M4">
            <v>5</v>
          </cell>
          <cell r="N4">
            <v>74</v>
          </cell>
          <cell r="O4">
            <v>5</v>
          </cell>
          <cell r="P4">
            <v>2</v>
          </cell>
          <cell r="Q4">
            <v>0</v>
          </cell>
          <cell r="R4">
            <v>3.9285714285714284</v>
          </cell>
          <cell r="S4">
            <v>78.571428571428569</v>
          </cell>
        </row>
        <row r="5">
          <cell r="B5" t="str">
            <v>Bangarupalem UPS</v>
          </cell>
          <cell r="C5" t="str">
            <v>Bangarupalem UPS</v>
          </cell>
          <cell r="D5">
            <v>213</v>
          </cell>
          <cell r="E5">
            <v>3</v>
          </cell>
          <cell r="F5">
            <v>102</v>
          </cell>
          <cell r="G5">
            <v>4</v>
          </cell>
          <cell r="H5">
            <v>359</v>
          </cell>
          <cell r="I5">
            <v>4</v>
          </cell>
          <cell r="J5">
            <v>129</v>
          </cell>
          <cell r="K5">
            <v>1</v>
          </cell>
          <cell r="L5">
            <v>7</v>
          </cell>
          <cell r="M5">
            <v>2</v>
          </cell>
          <cell r="N5">
            <v>248</v>
          </cell>
          <cell r="O5">
            <v>3</v>
          </cell>
          <cell r="P5">
            <v>79</v>
          </cell>
          <cell r="Q5">
            <v>2</v>
          </cell>
          <cell r="R5">
            <v>5</v>
          </cell>
          <cell r="S5">
            <v>100</v>
          </cell>
        </row>
        <row r="6">
          <cell r="B6" t="str">
            <v>CCS Chittoor UPS</v>
          </cell>
          <cell r="C6" t="str">
            <v>CCS Chittoor UPS</v>
          </cell>
          <cell r="D6">
            <v>13</v>
          </cell>
          <cell r="E6">
            <v>0</v>
          </cell>
          <cell r="F6">
            <v>11</v>
          </cell>
          <cell r="G6">
            <v>13</v>
          </cell>
          <cell r="H6">
            <v>24</v>
          </cell>
          <cell r="I6">
            <v>12</v>
          </cell>
          <cell r="J6">
            <v>12</v>
          </cell>
          <cell r="K6">
            <v>6</v>
          </cell>
          <cell r="L6">
            <v>16</v>
          </cell>
          <cell r="M6">
            <v>23</v>
          </cell>
          <cell r="N6">
            <v>3</v>
          </cell>
          <cell r="O6">
            <v>7</v>
          </cell>
          <cell r="P6">
            <v>13</v>
          </cell>
          <cell r="Q6">
            <v>6</v>
          </cell>
          <cell r="R6">
            <v>4.6428571428571432</v>
          </cell>
          <cell r="S6">
            <v>92.857142857142861</v>
          </cell>
        </row>
        <row r="7">
          <cell r="B7" t="str">
            <v>Chittoor I Town UPS</v>
          </cell>
          <cell r="C7" t="str">
            <v>Chittoor I Town UPS</v>
          </cell>
          <cell r="D7">
            <v>0</v>
          </cell>
          <cell r="E7">
            <v>7</v>
          </cell>
          <cell r="F7">
            <v>8</v>
          </cell>
          <cell r="G7">
            <v>20</v>
          </cell>
          <cell r="H7">
            <v>16</v>
          </cell>
          <cell r="I7">
            <v>28</v>
          </cell>
          <cell r="J7">
            <v>9</v>
          </cell>
          <cell r="K7">
            <v>19</v>
          </cell>
          <cell r="L7">
            <v>10</v>
          </cell>
          <cell r="M7">
            <v>5</v>
          </cell>
          <cell r="N7">
            <v>1</v>
          </cell>
          <cell r="O7">
            <v>7</v>
          </cell>
          <cell r="P7">
            <v>15</v>
          </cell>
          <cell r="Q7">
            <v>9</v>
          </cell>
          <cell r="R7">
            <v>4.6428571428571432</v>
          </cell>
          <cell r="S7">
            <v>92.857142857142861</v>
          </cell>
        </row>
        <row r="8">
          <cell r="B8" t="str">
            <v>Chittoor II Town UPS</v>
          </cell>
          <cell r="C8" t="str">
            <v>Chittoor II Town UPS</v>
          </cell>
          <cell r="D8">
            <v>0</v>
          </cell>
          <cell r="E8">
            <v>0</v>
          </cell>
          <cell r="F8">
            <v>6</v>
          </cell>
          <cell r="G8">
            <v>3</v>
          </cell>
          <cell r="H8">
            <v>25</v>
          </cell>
          <cell r="I8">
            <v>9</v>
          </cell>
          <cell r="J8">
            <v>16</v>
          </cell>
          <cell r="K8">
            <v>4</v>
          </cell>
          <cell r="L8">
            <v>10</v>
          </cell>
          <cell r="M8">
            <v>5</v>
          </cell>
          <cell r="N8">
            <v>14</v>
          </cell>
          <cell r="O8">
            <v>5</v>
          </cell>
          <cell r="P8">
            <v>12</v>
          </cell>
          <cell r="Q8">
            <v>3</v>
          </cell>
          <cell r="R8">
            <v>4.2857142857142856</v>
          </cell>
          <cell r="S8">
            <v>85.714285714285708</v>
          </cell>
        </row>
        <row r="9">
          <cell r="B9" t="str">
            <v>Chittoor Taluk PS</v>
          </cell>
          <cell r="C9" t="str">
            <v>Chittoor Taluk PS</v>
          </cell>
          <cell r="D9">
            <v>0</v>
          </cell>
          <cell r="E9">
            <v>0</v>
          </cell>
          <cell r="F9">
            <v>5</v>
          </cell>
          <cell r="G9">
            <v>3</v>
          </cell>
          <cell r="H9">
            <v>15</v>
          </cell>
          <cell r="I9">
            <v>29</v>
          </cell>
          <cell r="J9">
            <v>6</v>
          </cell>
          <cell r="K9">
            <v>13</v>
          </cell>
          <cell r="L9">
            <v>7</v>
          </cell>
          <cell r="M9">
            <v>7</v>
          </cell>
          <cell r="N9">
            <v>7</v>
          </cell>
          <cell r="O9">
            <v>6</v>
          </cell>
          <cell r="P9">
            <v>8</v>
          </cell>
          <cell r="Q9">
            <v>8</v>
          </cell>
          <cell r="R9">
            <v>4.2857142857142856</v>
          </cell>
          <cell r="S9">
            <v>85.714285714285708</v>
          </cell>
        </row>
        <row r="10">
          <cell r="B10" t="str">
            <v>Chittoor Traffic UPS</v>
          </cell>
          <cell r="C10" t="str">
            <v>Chittoor Traffic UPS</v>
          </cell>
          <cell r="D10">
            <v>18</v>
          </cell>
          <cell r="E10">
            <v>18</v>
          </cell>
          <cell r="F10">
            <v>2</v>
          </cell>
          <cell r="G10">
            <v>13</v>
          </cell>
          <cell r="H10">
            <v>24</v>
          </cell>
          <cell r="I10">
            <v>17</v>
          </cell>
          <cell r="J10">
            <v>12</v>
          </cell>
          <cell r="K10">
            <v>10</v>
          </cell>
          <cell r="L10">
            <v>10</v>
          </cell>
          <cell r="M10">
            <v>14</v>
          </cell>
          <cell r="N10">
            <v>19</v>
          </cell>
          <cell r="O10">
            <v>10</v>
          </cell>
          <cell r="P10">
            <v>1</v>
          </cell>
          <cell r="Q10">
            <v>1</v>
          </cell>
          <cell r="R10">
            <v>5</v>
          </cell>
          <cell r="S10">
            <v>100</v>
          </cell>
        </row>
        <row r="11">
          <cell r="B11" t="str">
            <v>G.D.Nellore UPS</v>
          </cell>
          <cell r="C11" t="str">
            <v>G.D.Nellore UPS</v>
          </cell>
          <cell r="D11">
            <v>0</v>
          </cell>
          <cell r="E11">
            <v>0</v>
          </cell>
          <cell r="F11">
            <v>8</v>
          </cell>
          <cell r="G11">
            <v>10</v>
          </cell>
          <cell r="H11">
            <v>12</v>
          </cell>
          <cell r="I11">
            <v>18</v>
          </cell>
          <cell r="J11">
            <v>2</v>
          </cell>
          <cell r="K11">
            <v>8</v>
          </cell>
          <cell r="L11">
            <v>114</v>
          </cell>
          <cell r="M11">
            <v>1</v>
          </cell>
          <cell r="N11">
            <v>38</v>
          </cell>
          <cell r="O11">
            <v>15</v>
          </cell>
          <cell r="P11">
            <v>25</v>
          </cell>
          <cell r="Q11">
            <v>12</v>
          </cell>
          <cell r="R11">
            <v>4.2857142857142856</v>
          </cell>
          <cell r="S11">
            <v>85.714285714285708</v>
          </cell>
        </row>
        <row r="12">
          <cell r="B12" t="str">
            <v>Gangavaram UPS</v>
          </cell>
          <cell r="C12" t="str">
            <v>Gangavaram UPS</v>
          </cell>
          <cell r="D12">
            <v>0</v>
          </cell>
          <cell r="E12">
            <v>9</v>
          </cell>
          <cell r="F12">
            <v>13</v>
          </cell>
          <cell r="G12">
            <v>1</v>
          </cell>
          <cell r="H12">
            <v>20</v>
          </cell>
          <cell r="I12">
            <v>8</v>
          </cell>
          <cell r="J12">
            <v>9</v>
          </cell>
          <cell r="K12">
            <v>3</v>
          </cell>
          <cell r="L12">
            <v>7</v>
          </cell>
          <cell r="M12">
            <v>2</v>
          </cell>
          <cell r="N12">
            <v>10</v>
          </cell>
          <cell r="O12">
            <v>1</v>
          </cell>
          <cell r="P12">
            <v>9</v>
          </cell>
          <cell r="Q12">
            <v>2</v>
          </cell>
          <cell r="R12">
            <v>4.6428571428571432</v>
          </cell>
          <cell r="S12">
            <v>92.857142857142861</v>
          </cell>
        </row>
        <row r="13">
          <cell r="B13" t="str">
            <v>Gudipala</v>
          </cell>
          <cell r="C13" t="str">
            <v>Gudipala PS</v>
          </cell>
          <cell r="D13">
            <v>0</v>
          </cell>
          <cell r="E13">
            <v>15</v>
          </cell>
          <cell r="F13">
            <v>12</v>
          </cell>
          <cell r="G13">
            <v>10</v>
          </cell>
          <cell r="H13">
            <v>32</v>
          </cell>
          <cell r="I13">
            <v>26</v>
          </cell>
          <cell r="J13">
            <v>11</v>
          </cell>
          <cell r="K13">
            <v>19</v>
          </cell>
          <cell r="L13">
            <v>12</v>
          </cell>
          <cell r="M13">
            <v>9</v>
          </cell>
          <cell r="N13">
            <v>13</v>
          </cell>
          <cell r="O13">
            <v>16</v>
          </cell>
          <cell r="P13">
            <v>15</v>
          </cell>
          <cell r="Q13">
            <v>14</v>
          </cell>
          <cell r="R13">
            <v>4.6428571428571432</v>
          </cell>
          <cell r="S13">
            <v>92.857142857142861</v>
          </cell>
        </row>
        <row r="14">
          <cell r="B14" t="str">
            <v>Gudipalli</v>
          </cell>
          <cell r="C14" t="str">
            <v>Gudipalli PS</v>
          </cell>
          <cell r="D14">
            <v>12</v>
          </cell>
          <cell r="E14">
            <v>5</v>
          </cell>
          <cell r="F14">
            <v>9</v>
          </cell>
          <cell r="G14">
            <v>2</v>
          </cell>
          <cell r="H14">
            <v>18</v>
          </cell>
          <cell r="I14">
            <v>9</v>
          </cell>
          <cell r="J14">
            <v>7</v>
          </cell>
          <cell r="K14">
            <v>5</v>
          </cell>
          <cell r="L14">
            <v>6</v>
          </cell>
          <cell r="M14">
            <v>6</v>
          </cell>
          <cell r="N14">
            <v>10</v>
          </cell>
          <cell r="O14">
            <v>4</v>
          </cell>
          <cell r="P14">
            <v>16</v>
          </cell>
          <cell r="Q14">
            <v>6</v>
          </cell>
          <cell r="R14">
            <v>5</v>
          </cell>
          <cell r="S14">
            <v>100</v>
          </cell>
        </row>
        <row r="15">
          <cell r="B15" t="str">
            <v>Irala</v>
          </cell>
          <cell r="C15" t="str">
            <v>Irala PS</v>
          </cell>
          <cell r="D15">
            <v>0</v>
          </cell>
          <cell r="E15">
            <v>0</v>
          </cell>
          <cell r="F15">
            <v>17</v>
          </cell>
          <cell r="G15">
            <v>9</v>
          </cell>
          <cell r="H15">
            <v>30</v>
          </cell>
          <cell r="I15">
            <v>16</v>
          </cell>
          <cell r="J15">
            <v>16</v>
          </cell>
          <cell r="K15">
            <v>8</v>
          </cell>
          <cell r="L15">
            <v>12</v>
          </cell>
          <cell r="M15">
            <v>13</v>
          </cell>
          <cell r="N15">
            <v>14</v>
          </cell>
          <cell r="O15">
            <v>14</v>
          </cell>
          <cell r="P15">
            <v>16</v>
          </cell>
          <cell r="Q15">
            <v>12</v>
          </cell>
          <cell r="R15">
            <v>4.2857142857142856</v>
          </cell>
          <cell r="S15">
            <v>85.714285714285708</v>
          </cell>
        </row>
        <row r="16">
          <cell r="B16" t="str">
            <v>K. Nagar</v>
          </cell>
          <cell r="C16" t="str">
            <v>K. Nagar PS</v>
          </cell>
          <cell r="D16">
            <v>7</v>
          </cell>
          <cell r="E16">
            <v>6</v>
          </cell>
          <cell r="F16">
            <v>65</v>
          </cell>
          <cell r="G16">
            <v>21</v>
          </cell>
          <cell r="H16">
            <v>70</v>
          </cell>
          <cell r="I16">
            <v>21</v>
          </cell>
          <cell r="J16">
            <v>23</v>
          </cell>
          <cell r="K16">
            <v>9</v>
          </cell>
          <cell r="L16">
            <v>6</v>
          </cell>
          <cell r="M16">
            <v>13</v>
          </cell>
          <cell r="N16">
            <v>109</v>
          </cell>
          <cell r="O16">
            <v>31</v>
          </cell>
          <cell r="P16">
            <v>73</v>
          </cell>
          <cell r="Q16">
            <v>6</v>
          </cell>
          <cell r="R16">
            <v>5</v>
          </cell>
          <cell r="S16">
            <v>100</v>
          </cell>
        </row>
        <row r="17">
          <cell r="B17" t="str">
            <v>Kallur</v>
          </cell>
          <cell r="C17" t="str">
            <v>Kallur PS</v>
          </cell>
          <cell r="D17">
            <v>13</v>
          </cell>
          <cell r="E17">
            <v>0</v>
          </cell>
          <cell r="F17">
            <v>15</v>
          </cell>
          <cell r="G17">
            <v>7</v>
          </cell>
          <cell r="H17">
            <v>53</v>
          </cell>
          <cell r="I17">
            <v>24</v>
          </cell>
          <cell r="J17">
            <v>22</v>
          </cell>
          <cell r="K17">
            <v>16</v>
          </cell>
          <cell r="L17">
            <v>42</v>
          </cell>
          <cell r="M17">
            <v>8</v>
          </cell>
          <cell r="N17">
            <v>30</v>
          </cell>
          <cell r="O17">
            <v>11</v>
          </cell>
          <cell r="P17">
            <v>21</v>
          </cell>
          <cell r="Q17">
            <v>11</v>
          </cell>
          <cell r="R17">
            <v>4.6428571428571432</v>
          </cell>
          <cell r="S17">
            <v>92.857142857142861</v>
          </cell>
        </row>
        <row r="18">
          <cell r="B18" t="str">
            <v>Kanipakam</v>
          </cell>
          <cell r="C18" t="str">
            <v>Kanipakam PS</v>
          </cell>
          <cell r="D18">
            <v>6</v>
          </cell>
          <cell r="E18">
            <v>6</v>
          </cell>
          <cell r="F18">
            <v>10</v>
          </cell>
          <cell r="G18">
            <v>5</v>
          </cell>
          <cell r="H18">
            <v>12</v>
          </cell>
          <cell r="I18">
            <v>9</v>
          </cell>
          <cell r="J18">
            <v>7</v>
          </cell>
          <cell r="K18">
            <v>5</v>
          </cell>
          <cell r="L18">
            <v>5</v>
          </cell>
          <cell r="M18">
            <v>8</v>
          </cell>
          <cell r="N18">
            <v>8</v>
          </cell>
          <cell r="O18">
            <v>8</v>
          </cell>
          <cell r="P18">
            <v>12</v>
          </cell>
          <cell r="Q18">
            <v>4</v>
          </cell>
          <cell r="R18">
            <v>5</v>
          </cell>
          <cell r="S18">
            <v>100</v>
          </cell>
        </row>
        <row r="19">
          <cell r="B19" t="str">
            <v>Kuppam UPS</v>
          </cell>
          <cell r="C19" t="str">
            <v>Kuppam UPS</v>
          </cell>
          <cell r="D19">
            <v>10</v>
          </cell>
          <cell r="E19">
            <v>6</v>
          </cell>
          <cell r="F19">
            <v>10</v>
          </cell>
          <cell r="G19">
            <v>6</v>
          </cell>
          <cell r="H19">
            <v>9</v>
          </cell>
          <cell r="I19">
            <v>12</v>
          </cell>
          <cell r="J19">
            <v>2</v>
          </cell>
          <cell r="K19">
            <v>6</v>
          </cell>
          <cell r="L19">
            <v>4</v>
          </cell>
          <cell r="M19">
            <v>1</v>
          </cell>
          <cell r="N19">
            <v>6</v>
          </cell>
          <cell r="O19">
            <v>6</v>
          </cell>
          <cell r="P19">
            <v>8</v>
          </cell>
          <cell r="Q19">
            <v>3</v>
          </cell>
          <cell r="R19">
            <v>5</v>
          </cell>
          <cell r="S19">
            <v>100</v>
          </cell>
        </row>
        <row r="20">
          <cell r="B20" t="str">
            <v>Mahila UPS, Chittoor</v>
          </cell>
          <cell r="C20" t="str">
            <v>Mahila UPS, Chittoor PS</v>
          </cell>
          <cell r="D20">
            <v>46</v>
          </cell>
          <cell r="E20">
            <v>0</v>
          </cell>
          <cell r="F20">
            <v>39</v>
          </cell>
          <cell r="G20">
            <v>1</v>
          </cell>
          <cell r="H20">
            <v>61</v>
          </cell>
          <cell r="I20">
            <v>84</v>
          </cell>
          <cell r="J20">
            <v>25</v>
          </cell>
          <cell r="K20">
            <v>11</v>
          </cell>
          <cell r="L20">
            <v>42</v>
          </cell>
          <cell r="M20">
            <v>33</v>
          </cell>
          <cell r="N20">
            <v>62</v>
          </cell>
          <cell r="O20">
            <v>10</v>
          </cell>
          <cell r="P20">
            <v>47</v>
          </cell>
          <cell r="Q20">
            <v>42</v>
          </cell>
          <cell r="R20">
            <v>4.6428571428571432</v>
          </cell>
          <cell r="S20">
            <v>92.857142857142861</v>
          </cell>
        </row>
        <row r="21">
          <cell r="B21" t="str">
            <v>Nagari UPS</v>
          </cell>
          <cell r="C21" t="str">
            <v>Nagari UPS</v>
          </cell>
          <cell r="D21">
            <v>13</v>
          </cell>
          <cell r="E21">
            <v>4</v>
          </cell>
          <cell r="F21">
            <v>17</v>
          </cell>
          <cell r="G21">
            <v>10</v>
          </cell>
          <cell r="H21">
            <v>26</v>
          </cell>
          <cell r="I21">
            <v>14</v>
          </cell>
          <cell r="J21">
            <v>15</v>
          </cell>
          <cell r="K21">
            <v>8</v>
          </cell>
          <cell r="L21">
            <v>11</v>
          </cell>
          <cell r="M21">
            <v>7</v>
          </cell>
          <cell r="N21">
            <v>70</v>
          </cell>
          <cell r="O21">
            <v>26</v>
          </cell>
          <cell r="P21">
            <v>18</v>
          </cell>
          <cell r="Q21">
            <v>10</v>
          </cell>
          <cell r="R21">
            <v>5</v>
          </cell>
          <cell r="S21">
            <v>100</v>
          </cell>
        </row>
        <row r="22">
          <cell r="B22" t="str">
            <v>Narsingarayanipet(N.R.Pet)</v>
          </cell>
          <cell r="C22" t="str">
            <v>Narsingarayanipet(N.R.Pet) PS</v>
          </cell>
          <cell r="D22">
            <v>47</v>
          </cell>
          <cell r="E22">
            <v>9</v>
          </cell>
          <cell r="F22">
            <v>9</v>
          </cell>
          <cell r="G22">
            <v>1</v>
          </cell>
          <cell r="H22">
            <v>79</v>
          </cell>
          <cell r="I22">
            <v>19</v>
          </cell>
          <cell r="J22">
            <v>8</v>
          </cell>
          <cell r="K22">
            <v>18</v>
          </cell>
          <cell r="L22">
            <v>17</v>
          </cell>
          <cell r="M22">
            <v>13</v>
          </cell>
          <cell r="N22">
            <v>27</v>
          </cell>
          <cell r="O22">
            <v>10</v>
          </cell>
          <cell r="P22">
            <v>22</v>
          </cell>
          <cell r="Q22">
            <v>19</v>
          </cell>
          <cell r="R22">
            <v>5</v>
          </cell>
          <cell r="S22">
            <v>100</v>
          </cell>
        </row>
        <row r="23">
          <cell r="B23" t="str">
            <v>Nindra</v>
          </cell>
          <cell r="C23" t="str">
            <v>Nindra PS</v>
          </cell>
          <cell r="D23">
            <v>8</v>
          </cell>
          <cell r="E23">
            <v>5</v>
          </cell>
          <cell r="F23">
            <v>22</v>
          </cell>
          <cell r="G23">
            <v>7</v>
          </cell>
          <cell r="H23">
            <v>39</v>
          </cell>
          <cell r="I23">
            <v>23</v>
          </cell>
          <cell r="J23">
            <v>12</v>
          </cell>
          <cell r="K23">
            <v>11</v>
          </cell>
          <cell r="L23">
            <v>36</v>
          </cell>
          <cell r="M23">
            <v>8</v>
          </cell>
          <cell r="N23">
            <v>9</v>
          </cell>
          <cell r="O23">
            <v>12</v>
          </cell>
          <cell r="P23">
            <v>25</v>
          </cell>
          <cell r="Q23">
            <v>6</v>
          </cell>
          <cell r="R23">
            <v>5</v>
          </cell>
          <cell r="S23">
            <v>100</v>
          </cell>
        </row>
        <row r="24">
          <cell r="B24" t="str">
            <v>Palamaner UPS</v>
          </cell>
          <cell r="C24" t="str">
            <v>Palamaner UPS</v>
          </cell>
          <cell r="D24">
            <v>23</v>
          </cell>
          <cell r="E24">
            <v>10</v>
          </cell>
          <cell r="F24">
            <v>55</v>
          </cell>
          <cell r="G24">
            <v>11</v>
          </cell>
          <cell r="H24">
            <v>54</v>
          </cell>
          <cell r="I24">
            <v>35</v>
          </cell>
          <cell r="J24">
            <v>26</v>
          </cell>
          <cell r="K24">
            <v>26</v>
          </cell>
          <cell r="L24">
            <v>17</v>
          </cell>
          <cell r="M24">
            <v>8</v>
          </cell>
          <cell r="N24">
            <v>51</v>
          </cell>
          <cell r="O24">
            <v>7</v>
          </cell>
          <cell r="P24">
            <v>97</v>
          </cell>
          <cell r="Q24">
            <v>18</v>
          </cell>
          <cell r="R24">
            <v>5</v>
          </cell>
          <cell r="S24">
            <v>100</v>
          </cell>
        </row>
        <row r="25">
          <cell r="B25" t="str">
            <v>Palasamudram</v>
          </cell>
          <cell r="C25" t="str">
            <v>Palasamudram PS</v>
          </cell>
          <cell r="D25">
            <v>7</v>
          </cell>
          <cell r="E25">
            <v>14</v>
          </cell>
          <cell r="F25">
            <v>27</v>
          </cell>
          <cell r="G25">
            <v>5</v>
          </cell>
          <cell r="H25">
            <v>102</v>
          </cell>
          <cell r="I25">
            <v>14</v>
          </cell>
          <cell r="J25">
            <v>34</v>
          </cell>
          <cell r="K25">
            <v>6</v>
          </cell>
          <cell r="L25">
            <v>7</v>
          </cell>
          <cell r="M25">
            <v>7</v>
          </cell>
          <cell r="N25">
            <v>24</v>
          </cell>
          <cell r="O25">
            <v>8</v>
          </cell>
          <cell r="P25">
            <v>29</v>
          </cell>
          <cell r="Q25">
            <v>9</v>
          </cell>
          <cell r="R25">
            <v>5</v>
          </cell>
          <cell r="S25">
            <v>100</v>
          </cell>
        </row>
        <row r="26">
          <cell r="B26" t="str">
            <v>Panjani</v>
          </cell>
          <cell r="C26" t="str">
            <v>Panjani PS</v>
          </cell>
          <cell r="D26">
            <v>21</v>
          </cell>
          <cell r="E26">
            <v>4</v>
          </cell>
          <cell r="F26">
            <v>7</v>
          </cell>
          <cell r="G26">
            <v>5</v>
          </cell>
          <cell r="H26">
            <v>56</v>
          </cell>
          <cell r="I26">
            <v>8</v>
          </cell>
          <cell r="J26">
            <v>21</v>
          </cell>
          <cell r="K26">
            <v>4</v>
          </cell>
          <cell r="L26">
            <v>21</v>
          </cell>
          <cell r="M26">
            <v>3</v>
          </cell>
          <cell r="N26">
            <v>12</v>
          </cell>
          <cell r="O26">
            <v>5</v>
          </cell>
          <cell r="P26">
            <v>29</v>
          </cell>
          <cell r="Q26">
            <v>4</v>
          </cell>
          <cell r="R26">
            <v>5</v>
          </cell>
          <cell r="S26">
            <v>100</v>
          </cell>
        </row>
        <row r="27">
          <cell r="B27" t="str">
            <v>Penumur</v>
          </cell>
          <cell r="C27" t="str">
            <v>Penumur PS</v>
          </cell>
          <cell r="D27">
            <v>18</v>
          </cell>
          <cell r="E27">
            <v>13</v>
          </cell>
          <cell r="F27">
            <v>31</v>
          </cell>
          <cell r="G27">
            <v>13</v>
          </cell>
          <cell r="H27">
            <v>35</v>
          </cell>
          <cell r="I27">
            <v>20</v>
          </cell>
          <cell r="J27">
            <v>13</v>
          </cell>
          <cell r="K27">
            <v>9</v>
          </cell>
          <cell r="L27">
            <v>15</v>
          </cell>
          <cell r="M27">
            <v>7</v>
          </cell>
          <cell r="N27">
            <v>13</v>
          </cell>
          <cell r="O27">
            <v>7</v>
          </cell>
          <cell r="P27">
            <v>13</v>
          </cell>
          <cell r="Q27">
            <v>4</v>
          </cell>
          <cell r="R27">
            <v>5</v>
          </cell>
          <cell r="S27">
            <v>100</v>
          </cell>
        </row>
        <row r="28">
          <cell r="B28" t="str">
            <v>Puthalapattu UPS</v>
          </cell>
          <cell r="C28" t="str">
            <v>Puthalapattu UPS</v>
          </cell>
          <cell r="D28">
            <v>11</v>
          </cell>
          <cell r="E28">
            <v>0</v>
          </cell>
          <cell r="F28">
            <v>17</v>
          </cell>
          <cell r="G28">
            <v>9</v>
          </cell>
          <cell r="H28">
            <v>23</v>
          </cell>
          <cell r="I28">
            <v>15</v>
          </cell>
          <cell r="J28">
            <v>12</v>
          </cell>
          <cell r="K28">
            <v>7</v>
          </cell>
          <cell r="L28">
            <v>8</v>
          </cell>
          <cell r="M28">
            <v>7</v>
          </cell>
          <cell r="N28">
            <v>22</v>
          </cell>
          <cell r="O28">
            <v>6</v>
          </cell>
          <cell r="P28">
            <v>25</v>
          </cell>
          <cell r="Q28">
            <v>9</v>
          </cell>
          <cell r="R28">
            <v>4.6428571428571432</v>
          </cell>
          <cell r="S28">
            <v>92.857142857142861</v>
          </cell>
        </row>
        <row r="29">
          <cell r="B29" t="str">
            <v>Rallabudugur</v>
          </cell>
          <cell r="C29" t="str">
            <v>Rallabudugur PS</v>
          </cell>
          <cell r="D29">
            <v>72</v>
          </cell>
          <cell r="E29">
            <v>34</v>
          </cell>
          <cell r="F29">
            <v>36</v>
          </cell>
          <cell r="G29">
            <v>6</v>
          </cell>
          <cell r="H29">
            <v>138</v>
          </cell>
          <cell r="I29">
            <v>12</v>
          </cell>
          <cell r="J29">
            <v>77</v>
          </cell>
          <cell r="K29">
            <v>5</v>
          </cell>
          <cell r="L29">
            <v>111</v>
          </cell>
          <cell r="M29">
            <v>4</v>
          </cell>
          <cell r="N29">
            <v>74</v>
          </cell>
          <cell r="O29">
            <v>26</v>
          </cell>
          <cell r="P29">
            <v>8</v>
          </cell>
          <cell r="Q29">
            <v>54</v>
          </cell>
          <cell r="R29">
            <v>5</v>
          </cell>
          <cell r="S29">
            <v>100</v>
          </cell>
        </row>
        <row r="30">
          <cell r="B30" t="str">
            <v>Ramakuppam</v>
          </cell>
          <cell r="C30" t="str">
            <v>Ramakuppam PS</v>
          </cell>
          <cell r="D30">
            <v>82</v>
          </cell>
          <cell r="E30">
            <v>13</v>
          </cell>
          <cell r="F30">
            <v>94</v>
          </cell>
          <cell r="G30">
            <v>20</v>
          </cell>
          <cell r="H30">
            <v>277</v>
          </cell>
          <cell r="I30">
            <v>36</v>
          </cell>
          <cell r="J30">
            <v>124</v>
          </cell>
          <cell r="K30">
            <v>17</v>
          </cell>
          <cell r="L30">
            <v>11</v>
          </cell>
          <cell r="M30">
            <v>0</v>
          </cell>
          <cell r="N30">
            <v>11</v>
          </cell>
          <cell r="O30">
            <v>26</v>
          </cell>
          <cell r="P30">
            <v>77</v>
          </cell>
          <cell r="Q30">
            <v>22</v>
          </cell>
          <cell r="R30">
            <v>4.6428571428571432</v>
          </cell>
          <cell r="S30">
            <v>92.857142857142861</v>
          </cell>
        </row>
        <row r="31">
          <cell r="B31" t="str">
            <v>Rompicherla</v>
          </cell>
          <cell r="C31" t="str">
            <v>Rompicherla PS</v>
          </cell>
          <cell r="D31">
            <v>31</v>
          </cell>
          <cell r="E31">
            <v>31</v>
          </cell>
          <cell r="F31">
            <v>60</v>
          </cell>
          <cell r="G31">
            <v>4</v>
          </cell>
          <cell r="H31">
            <v>69</v>
          </cell>
          <cell r="I31">
            <v>35</v>
          </cell>
          <cell r="J31">
            <v>33</v>
          </cell>
          <cell r="K31">
            <v>18</v>
          </cell>
          <cell r="L31">
            <v>40</v>
          </cell>
          <cell r="M31">
            <v>10</v>
          </cell>
          <cell r="N31">
            <v>46</v>
          </cell>
          <cell r="O31">
            <v>17</v>
          </cell>
          <cell r="P31">
            <v>26</v>
          </cell>
          <cell r="Q31">
            <v>8</v>
          </cell>
          <cell r="R31">
            <v>5</v>
          </cell>
          <cell r="S31">
            <v>100</v>
          </cell>
        </row>
        <row r="32">
          <cell r="B32" t="str">
            <v>S.R.Puram</v>
          </cell>
          <cell r="C32" t="str">
            <v>S.R.Puram PS</v>
          </cell>
          <cell r="D32">
            <v>8</v>
          </cell>
          <cell r="E32">
            <v>5</v>
          </cell>
          <cell r="F32">
            <v>4</v>
          </cell>
          <cell r="G32">
            <v>7</v>
          </cell>
          <cell r="H32">
            <v>16</v>
          </cell>
          <cell r="I32">
            <v>15</v>
          </cell>
          <cell r="J32">
            <v>6</v>
          </cell>
          <cell r="K32">
            <v>7</v>
          </cell>
          <cell r="L32">
            <v>10</v>
          </cell>
          <cell r="M32">
            <v>5</v>
          </cell>
          <cell r="N32">
            <v>8</v>
          </cell>
          <cell r="O32">
            <v>11</v>
          </cell>
          <cell r="P32">
            <v>9</v>
          </cell>
          <cell r="Q32">
            <v>19</v>
          </cell>
          <cell r="R32">
            <v>5</v>
          </cell>
          <cell r="S32">
            <v>100</v>
          </cell>
        </row>
        <row r="33">
          <cell r="B33" t="str">
            <v>Thavanampalle</v>
          </cell>
          <cell r="C33" t="str">
            <v>Thavanampalle PS</v>
          </cell>
          <cell r="D33">
            <v>35</v>
          </cell>
          <cell r="E33">
            <v>4</v>
          </cell>
          <cell r="F33">
            <v>14</v>
          </cell>
          <cell r="G33">
            <v>24</v>
          </cell>
          <cell r="H33">
            <v>37</v>
          </cell>
          <cell r="I33">
            <v>23</v>
          </cell>
          <cell r="J33">
            <v>14</v>
          </cell>
          <cell r="K33">
            <v>5</v>
          </cell>
          <cell r="L33">
            <v>19</v>
          </cell>
          <cell r="M33">
            <v>11</v>
          </cell>
          <cell r="N33">
            <v>23</v>
          </cell>
          <cell r="O33">
            <v>16</v>
          </cell>
          <cell r="P33">
            <v>5</v>
          </cell>
          <cell r="Q33">
            <v>7</v>
          </cell>
          <cell r="R33">
            <v>5</v>
          </cell>
          <cell r="S33">
            <v>100</v>
          </cell>
        </row>
        <row r="34">
          <cell r="B34" t="str">
            <v>V.Kota UPS</v>
          </cell>
          <cell r="C34" t="str">
            <v>V.Kota UPS</v>
          </cell>
          <cell r="D34">
            <v>41</v>
          </cell>
          <cell r="E34">
            <v>6</v>
          </cell>
          <cell r="F34">
            <v>54</v>
          </cell>
          <cell r="G34">
            <v>5</v>
          </cell>
          <cell r="H34">
            <v>48</v>
          </cell>
          <cell r="I34">
            <v>9</v>
          </cell>
          <cell r="J34">
            <v>18</v>
          </cell>
          <cell r="K34">
            <v>4</v>
          </cell>
          <cell r="L34">
            <v>6</v>
          </cell>
          <cell r="M34">
            <v>5</v>
          </cell>
          <cell r="N34">
            <v>29</v>
          </cell>
          <cell r="O34">
            <v>0</v>
          </cell>
          <cell r="P34">
            <v>38</v>
          </cell>
          <cell r="Q34">
            <v>13</v>
          </cell>
          <cell r="R34">
            <v>4.6428571428571432</v>
          </cell>
          <cell r="S34">
            <v>92.857142857142861</v>
          </cell>
        </row>
        <row r="35">
          <cell r="B35" t="str">
            <v>Vedurukuppam</v>
          </cell>
          <cell r="C35" t="str">
            <v>Vedurukuppam PS</v>
          </cell>
          <cell r="D35">
            <v>7</v>
          </cell>
          <cell r="E35">
            <v>8</v>
          </cell>
          <cell r="F35">
            <v>8</v>
          </cell>
          <cell r="G35">
            <v>7</v>
          </cell>
          <cell r="H35">
            <v>45</v>
          </cell>
          <cell r="I35">
            <v>15</v>
          </cell>
          <cell r="J35">
            <v>36</v>
          </cell>
          <cell r="K35">
            <v>9</v>
          </cell>
          <cell r="L35">
            <v>12</v>
          </cell>
          <cell r="M35">
            <v>8</v>
          </cell>
          <cell r="N35">
            <v>6</v>
          </cell>
          <cell r="O35">
            <v>13</v>
          </cell>
          <cell r="P35">
            <v>8</v>
          </cell>
          <cell r="Q35">
            <v>5</v>
          </cell>
          <cell r="R35">
            <v>5</v>
          </cell>
          <cell r="S35">
            <v>100</v>
          </cell>
        </row>
        <row r="36">
          <cell r="B36" t="str">
            <v>Vijayapuram</v>
          </cell>
          <cell r="C36" t="str">
            <v>Vijayapuram PS</v>
          </cell>
          <cell r="D36">
            <v>72</v>
          </cell>
          <cell r="E36">
            <v>4</v>
          </cell>
          <cell r="F36">
            <v>25</v>
          </cell>
          <cell r="G36">
            <v>33</v>
          </cell>
          <cell r="H36">
            <v>28</v>
          </cell>
          <cell r="I36">
            <v>14</v>
          </cell>
          <cell r="J36">
            <v>8</v>
          </cell>
          <cell r="K36">
            <v>6</v>
          </cell>
          <cell r="L36">
            <v>8</v>
          </cell>
          <cell r="M36">
            <v>8</v>
          </cell>
          <cell r="N36">
            <v>9</v>
          </cell>
          <cell r="O36">
            <v>8</v>
          </cell>
          <cell r="P36">
            <v>10</v>
          </cell>
          <cell r="Q36">
            <v>11</v>
          </cell>
          <cell r="R36">
            <v>5</v>
          </cell>
          <cell r="S36">
            <v>100</v>
          </cell>
        </row>
        <row r="37">
          <cell r="B37" t="str">
            <v>Yadamari</v>
          </cell>
          <cell r="C37" t="str">
            <v>Yadamari PS</v>
          </cell>
          <cell r="D37">
            <v>10</v>
          </cell>
          <cell r="E37">
            <v>0</v>
          </cell>
          <cell r="F37">
            <v>1</v>
          </cell>
          <cell r="G37">
            <v>6</v>
          </cell>
          <cell r="H37">
            <v>18</v>
          </cell>
          <cell r="I37">
            <v>23</v>
          </cell>
          <cell r="J37">
            <v>8</v>
          </cell>
          <cell r="K37">
            <v>14</v>
          </cell>
          <cell r="L37">
            <v>7</v>
          </cell>
          <cell r="M37">
            <v>6</v>
          </cell>
          <cell r="N37">
            <v>6</v>
          </cell>
          <cell r="O37">
            <v>6</v>
          </cell>
          <cell r="P37">
            <v>7</v>
          </cell>
          <cell r="Q37">
            <v>6</v>
          </cell>
          <cell r="R37">
            <v>4.6428571428571432</v>
          </cell>
          <cell r="S37">
            <v>92.857142857142861</v>
          </cell>
        </row>
        <row r="38">
          <cell r="D38">
            <v>844</v>
          </cell>
          <cell r="E38">
            <v>239</v>
          </cell>
          <cell r="F38">
            <v>909</v>
          </cell>
          <cell r="G38">
            <v>304</v>
          </cell>
          <cell r="H38">
            <v>1912</v>
          </cell>
          <cell r="I38">
            <v>665</v>
          </cell>
          <cell r="J38">
            <v>777</v>
          </cell>
          <cell r="K38">
            <v>322</v>
          </cell>
          <cell r="L38">
            <v>671</v>
          </cell>
          <cell r="M38">
            <v>272</v>
          </cell>
          <cell r="N38">
            <v>1106</v>
          </cell>
          <cell r="O38">
            <v>363</v>
          </cell>
          <cell r="P38">
            <v>818</v>
          </cell>
          <cell r="Q38">
            <v>365</v>
          </cell>
          <cell r="R38">
            <v>4.7794117647058822</v>
          </cell>
          <cell r="S38">
            <v>95.588235294117624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Gudipalli</v>
          </cell>
          <cell r="C3">
            <v>0</v>
          </cell>
          <cell r="D3">
            <v>0</v>
          </cell>
        </row>
        <row r="4">
          <cell r="B4" t="str">
            <v>Kuppam UPS</v>
          </cell>
          <cell r="C4">
            <v>0</v>
          </cell>
          <cell r="D4">
            <v>0</v>
          </cell>
        </row>
        <row r="5">
          <cell r="B5" t="str">
            <v>Ramakuppam</v>
          </cell>
          <cell r="C5">
            <v>0</v>
          </cell>
          <cell r="D5">
            <v>0</v>
          </cell>
        </row>
        <row r="6">
          <cell r="B6" t="str">
            <v>Puthalapattu UPS</v>
          </cell>
          <cell r="C6">
            <v>0</v>
          </cell>
          <cell r="D6">
            <v>0</v>
          </cell>
        </row>
        <row r="7">
          <cell r="B7" t="str">
            <v>CCS Chittoor UPS</v>
          </cell>
          <cell r="C7">
            <v>0</v>
          </cell>
          <cell r="D7">
            <v>0</v>
          </cell>
        </row>
        <row r="8">
          <cell r="B8" t="str">
            <v>Palasamudram</v>
          </cell>
          <cell r="C8">
            <v>0</v>
          </cell>
          <cell r="D8">
            <v>0</v>
          </cell>
        </row>
        <row r="9">
          <cell r="B9" t="str">
            <v>Rallabudugur</v>
          </cell>
          <cell r="C9">
            <v>0</v>
          </cell>
          <cell r="D9">
            <v>0</v>
          </cell>
        </row>
        <row r="10">
          <cell r="B10" t="str">
            <v>Bangarupalem UPS</v>
          </cell>
          <cell r="C10">
            <v>0</v>
          </cell>
          <cell r="D10">
            <v>0</v>
          </cell>
        </row>
        <row r="11">
          <cell r="B11" t="str">
            <v>Narsingarayanipet(N.R.Pet)</v>
          </cell>
          <cell r="C11">
            <v>0</v>
          </cell>
          <cell r="D11">
            <v>0</v>
          </cell>
        </row>
        <row r="12">
          <cell r="B12" t="str">
            <v>Chittoor II Town UPS</v>
          </cell>
          <cell r="C12">
            <v>0</v>
          </cell>
          <cell r="D12">
            <v>0</v>
          </cell>
        </row>
        <row r="13">
          <cell r="B13" t="str">
            <v>Chittoor I Town UPS</v>
          </cell>
          <cell r="C13">
            <v>0</v>
          </cell>
          <cell r="D13">
            <v>0</v>
          </cell>
        </row>
        <row r="14">
          <cell r="B14" t="str">
            <v>Nindra</v>
          </cell>
          <cell r="C14">
            <v>0</v>
          </cell>
          <cell r="D14">
            <v>0</v>
          </cell>
        </row>
        <row r="15">
          <cell r="B15" t="str">
            <v>Chittoor Traffic UPS</v>
          </cell>
          <cell r="C15">
            <v>0</v>
          </cell>
          <cell r="D15">
            <v>0</v>
          </cell>
        </row>
        <row r="16">
          <cell r="B16" t="str">
            <v>K. Nagar</v>
          </cell>
          <cell r="C16">
            <v>0</v>
          </cell>
          <cell r="D16">
            <v>0</v>
          </cell>
        </row>
        <row r="17">
          <cell r="B17" t="str">
            <v>V.Kota UPS</v>
          </cell>
          <cell r="C17">
            <v>0</v>
          </cell>
          <cell r="D17">
            <v>0</v>
          </cell>
        </row>
        <row r="18">
          <cell r="B18" t="str">
            <v>Irala</v>
          </cell>
          <cell r="C18">
            <v>0</v>
          </cell>
          <cell r="D18">
            <v>0</v>
          </cell>
        </row>
        <row r="19">
          <cell r="B19" t="str">
            <v>Rompicherla</v>
          </cell>
          <cell r="C19">
            <v>0</v>
          </cell>
          <cell r="D19">
            <v>0</v>
          </cell>
        </row>
        <row r="20">
          <cell r="B20" t="str">
            <v>Vedurukuppam</v>
          </cell>
          <cell r="C20">
            <v>0</v>
          </cell>
          <cell r="D20">
            <v>0</v>
          </cell>
        </row>
        <row r="21">
          <cell r="B21" t="str">
            <v>Thavanampalle</v>
          </cell>
          <cell r="C21">
            <v>0</v>
          </cell>
          <cell r="D21">
            <v>0</v>
          </cell>
        </row>
        <row r="22">
          <cell r="B22" t="str">
            <v>Kallur</v>
          </cell>
          <cell r="C22">
            <v>0</v>
          </cell>
          <cell r="D22">
            <v>0</v>
          </cell>
        </row>
        <row r="23">
          <cell r="B23" t="str">
            <v>Baireddypalle</v>
          </cell>
          <cell r="C23">
            <v>0</v>
          </cell>
          <cell r="D23">
            <v>0</v>
          </cell>
        </row>
        <row r="24">
          <cell r="B24" t="str">
            <v>Penumur</v>
          </cell>
          <cell r="C24">
            <v>0</v>
          </cell>
          <cell r="D24">
            <v>0</v>
          </cell>
        </row>
        <row r="25">
          <cell r="B25" t="str">
            <v>Panjani</v>
          </cell>
          <cell r="C25">
            <v>0</v>
          </cell>
          <cell r="D25">
            <v>0</v>
          </cell>
        </row>
        <row r="26">
          <cell r="B26" t="str">
            <v>G.D.Nellore UPS</v>
          </cell>
          <cell r="C26">
            <v>0</v>
          </cell>
          <cell r="D26">
            <v>0</v>
          </cell>
        </row>
        <row r="27">
          <cell r="B27" t="str">
            <v>S.R.Puram</v>
          </cell>
          <cell r="C27">
            <v>0</v>
          </cell>
          <cell r="D27">
            <v>0</v>
          </cell>
        </row>
        <row r="28">
          <cell r="B28" t="str">
            <v>Palamaner UPS</v>
          </cell>
          <cell r="C28">
            <v>0</v>
          </cell>
          <cell r="D28">
            <v>0</v>
          </cell>
        </row>
        <row r="29">
          <cell r="B29" t="str">
            <v>Gangavaram UPS</v>
          </cell>
          <cell r="C29">
            <v>0</v>
          </cell>
          <cell r="D29">
            <v>0</v>
          </cell>
        </row>
        <row r="30">
          <cell r="B30" t="str">
            <v>Nagari UPS</v>
          </cell>
          <cell r="C30">
            <v>0</v>
          </cell>
          <cell r="D30">
            <v>0</v>
          </cell>
        </row>
        <row r="31">
          <cell r="B31" t="str">
            <v>Yadamari</v>
          </cell>
          <cell r="C31">
            <v>0</v>
          </cell>
          <cell r="D31">
            <v>0</v>
          </cell>
        </row>
        <row r="32">
          <cell r="B32" t="str">
            <v>Vijayapuram</v>
          </cell>
          <cell r="C32">
            <v>0</v>
          </cell>
          <cell r="D32">
            <v>0</v>
          </cell>
        </row>
        <row r="33">
          <cell r="B33" t="str">
            <v>Chittoor Taluk PS</v>
          </cell>
          <cell r="C33">
            <v>0</v>
          </cell>
          <cell r="D33">
            <v>0</v>
          </cell>
        </row>
        <row r="34">
          <cell r="B34" t="str">
            <v>Kanipakam</v>
          </cell>
          <cell r="C34">
            <v>0</v>
          </cell>
          <cell r="D34">
            <v>0</v>
          </cell>
        </row>
        <row r="35">
          <cell r="B35" t="str">
            <v>Mahila UPS, Chittoor</v>
          </cell>
          <cell r="C35">
            <v>0</v>
          </cell>
          <cell r="D35">
            <v>0</v>
          </cell>
        </row>
        <row r="36">
          <cell r="B36" t="str">
            <v>Gudipala</v>
          </cell>
          <cell r="C36">
            <v>0</v>
          </cell>
          <cell r="D36">
            <v>0</v>
          </cell>
        </row>
        <row r="37">
          <cell r="D37">
            <v>0</v>
          </cell>
        </row>
      </sheetData>
      <sheetData sheetId="21"/>
      <sheetData sheetId="22"/>
      <sheetData sheetId="23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FSL</v>
          </cell>
          <cell r="E2" t="str">
            <v>No. of Cases FSL Req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Baireddypalle</v>
          </cell>
          <cell r="C3">
            <v>2</v>
          </cell>
          <cell r="D3">
            <v>0</v>
          </cell>
          <cell r="E3">
            <v>0</v>
          </cell>
          <cell r="F3" t="str">
            <v>100.00</v>
          </cell>
          <cell r="G3" t="str">
            <v>100.00</v>
          </cell>
          <cell r="H3">
            <v>5</v>
          </cell>
        </row>
        <row r="4">
          <cell r="B4" t="str">
            <v>Bangarupalem UPS</v>
          </cell>
          <cell r="C4">
            <v>4</v>
          </cell>
          <cell r="D4">
            <v>0</v>
          </cell>
          <cell r="E4">
            <v>0</v>
          </cell>
          <cell r="F4" t="str">
            <v>100.00</v>
          </cell>
          <cell r="G4" t="str">
            <v>100.00</v>
          </cell>
          <cell r="H4">
            <v>5</v>
          </cell>
        </row>
        <row r="5">
          <cell r="B5" t="str">
            <v>CCS Chittoor UPS</v>
          </cell>
          <cell r="C5">
            <v>0</v>
          </cell>
          <cell r="D5">
            <v>0</v>
          </cell>
          <cell r="E5">
            <v>0</v>
          </cell>
          <cell r="F5" t="str">
            <v>100.00</v>
          </cell>
          <cell r="G5" t="str">
            <v>100.00</v>
          </cell>
          <cell r="H5">
            <v>5</v>
          </cell>
        </row>
        <row r="6">
          <cell r="B6" t="str">
            <v>Chittoor I Town UPS</v>
          </cell>
          <cell r="C6">
            <v>2</v>
          </cell>
          <cell r="D6">
            <v>0</v>
          </cell>
          <cell r="E6">
            <v>0</v>
          </cell>
          <cell r="F6" t="str">
            <v>100.00</v>
          </cell>
          <cell r="G6" t="str">
            <v>100.00</v>
          </cell>
          <cell r="H6">
            <v>5</v>
          </cell>
        </row>
        <row r="7">
          <cell r="B7" t="str">
            <v>Chittoor II Town UPS</v>
          </cell>
          <cell r="C7">
            <v>4</v>
          </cell>
          <cell r="D7">
            <v>0</v>
          </cell>
          <cell r="E7">
            <v>0</v>
          </cell>
          <cell r="F7" t="str">
            <v>100.00</v>
          </cell>
          <cell r="G7" t="str">
            <v>100.00</v>
          </cell>
          <cell r="H7">
            <v>5</v>
          </cell>
        </row>
        <row r="8">
          <cell r="B8" t="str">
            <v>Chittoor Taluk PS</v>
          </cell>
          <cell r="C8">
            <v>3</v>
          </cell>
          <cell r="D8">
            <v>0</v>
          </cell>
          <cell r="E8">
            <v>0</v>
          </cell>
          <cell r="F8" t="str">
            <v>100.00</v>
          </cell>
          <cell r="G8" t="str">
            <v>100.00</v>
          </cell>
          <cell r="H8">
            <v>5</v>
          </cell>
        </row>
        <row r="9">
          <cell r="B9" t="str">
            <v>Chittoor Traffic UPS</v>
          </cell>
          <cell r="C9">
            <v>0</v>
          </cell>
          <cell r="D9">
            <v>0</v>
          </cell>
          <cell r="E9">
            <v>0</v>
          </cell>
          <cell r="F9" t="str">
            <v>100.00</v>
          </cell>
          <cell r="G9" t="str">
            <v>100.00</v>
          </cell>
          <cell r="H9">
            <v>5</v>
          </cell>
        </row>
        <row r="10">
          <cell r="B10" t="str">
            <v>G.D.Nellore UPS</v>
          </cell>
          <cell r="C10">
            <v>5</v>
          </cell>
          <cell r="D10">
            <v>0</v>
          </cell>
          <cell r="E10">
            <v>0</v>
          </cell>
          <cell r="F10" t="str">
            <v>100.00</v>
          </cell>
          <cell r="G10" t="str">
            <v>100.00</v>
          </cell>
          <cell r="H10">
            <v>5</v>
          </cell>
        </row>
        <row r="11">
          <cell r="B11" t="str">
            <v>Gangavaram UPS</v>
          </cell>
          <cell r="C11">
            <v>3</v>
          </cell>
          <cell r="D11">
            <v>0</v>
          </cell>
          <cell r="E11">
            <v>0</v>
          </cell>
          <cell r="F11" t="str">
            <v>100.00</v>
          </cell>
          <cell r="G11" t="str">
            <v>100.00</v>
          </cell>
          <cell r="H11">
            <v>5</v>
          </cell>
        </row>
        <row r="12">
          <cell r="B12" t="str">
            <v>Gudipala</v>
          </cell>
          <cell r="C12">
            <v>3</v>
          </cell>
          <cell r="D12">
            <v>0</v>
          </cell>
          <cell r="E12">
            <v>0</v>
          </cell>
          <cell r="F12" t="str">
            <v>100.00</v>
          </cell>
          <cell r="G12" t="str">
            <v>100.00</v>
          </cell>
          <cell r="H12">
            <v>5</v>
          </cell>
        </row>
        <row r="13">
          <cell r="B13" t="str">
            <v>Gudipalli</v>
          </cell>
          <cell r="C13">
            <v>1</v>
          </cell>
          <cell r="D13">
            <v>0</v>
          </cell>
          <cell r="E13">
            <v>0</v>
          </cell>
          <cell r="F13" t="str">
            <v>100.00</v>
          </cell>
          <cell r="G13" t="str">
            <v>100.00</v>
          </cell>
          <cell r="H13">
            <v>5</v>
          </cell>
        </row>
        <row r="14">
          <cell r="B14" t="str">
            <v>Irala</v>
          </cell>
          <cell r="C14">
            <v>6</v>
          </cell>
          <cell r="D14">
            <v>0</v>
          </cell>
          <cell r="E14">
            <v>0</v>
          </cell>
          <cell r="F14" t="str">
            <v>100.00</v>
          </cell>
          <cell r="G14" t="str">
            <v>100.00</v>
          </cell>
          <cell r="H14">
            <v>5</v>
          </cell>
        </row>
        <row r="15">
          <cell r="B15" t="str">
            <v>K. Nagar</v>
          </cell>
          <cell r="C15">
            <v>2</v>
          </cell>
          <cell r="D15">
            <v>0</v>
          </cell>
          <cell r="E15">
            <v>0</v>
          </cell>
          <cell r="F15" t="str">
            <v>100.00</v>
          </cell>
          <cell r="G15" t="str">
            <v>100.00</v>
          </cell>
          <cell r="H15">
            <v>5</v>
          </cell>
        </row>
        <row r="16">
          <cell r="B16" t="str">
            <v>Kallur</v>
          </cell>
          <cell r="C16">
            <v>1</v>
          </cell>
          <cell r="D16">
            <v>0</v>
          </cell>
          <cell r="E16">
            <v>0</v>
          </cell>
          <cell r="F16" t="str">
            <v>100.00</v>
          </cell>
          <cell r="G16" t="str">
            <v>100.00</v>
          </cell>
          <cell r="H16">
            <v>5</v>
          </cell>
        </row>
        <row r="17">
          <cell r="B17" t="str">
            <v>Kanipakam</v>
          </cell>
          <cell r="C17">
            <v>0</v>
          </cell>
          <cell r="D17">
            <v>0</v>
          </cell>
          <cell r="E17">
            <v>0</v>
          </cell>
          <cell r="F17" t="str">
            <v>100.00</v>
          </cell>
          <cell r="G17" t="str">
            <v>100.00</v>
          </cell>
          <cell r="H17">
            <v>5</v>
          </cell>
        </row>
        <row r="18">
          <cell r="B18" t="str">
            <v>Kuppam UPS</v>
          </cell>
          <cell r="C18">
            <v>8</v>
          </cell>
          <cell r="D18">
            <v>0</v>
          </cell>
          <cell r="E18">
            <v>0</v>
          </cell>
          <cell r="F18" t="str">
            <v>100.00</v>
          </cell>
          <cell r="G18" t="str">
            <v>100.00</v>
          </cell>
          <cell r="H18">
            <v>5</v>
          </cell>
        </row>
        <row r="19">
          <cell r="B19" t="str">
            <v>Mahila UPS, Chittoor</v>
          </cell>
          <cell r="C19">
            <v>1</v>
          </cell>
          <cell r="D19">
            <v>0</v>
          </cell>
          <cell r="E19">
            <v>0</v>
          </cell>
          <cell r="F19" t="str">
            <v>100.00</v>
          </cell>
          <cell r="G19" t="str">
            <v>100.00</v>
          </cell>
          <cell r="H19">
            <v>5</v>
          </cell>
        </row>
        <row r="20">
          <cell r="B20" t="str">
            <v>Nagari UPS</v>
          </cell>
          <cell r="C20">
            <v>2</v>
          </cell>
          <cell r="D20">
            <v>0</v>
          </cell>
          <cell r="E20">
            <v>0</v>
          </cell>
          <cell r="F20" t="str">
            <v>100.00</v>
          </cell>
          <cell r="G20" t="str">
            <v>100.00</v>
          </cell>
          <cell r="H20">
            <v>5</v>
          </cell>
        </row>
        <row r="21">
          <cell r="B21" t="str">
            <v>Narsingarayanipet(N.R.Pet)</v>
          </cell>
          <cell r="C21">
            <v>2</v>
          </cell>
          <cell r="D21">
            <v>0</v>
          </cell>
          <cell r="E21">
            <v>0</v>
          </cell>
          <cell r="F21" t="str">
            <v>100.00</v>
          </cell>
          <cell r="G21" t="str">
            <v>100.00</v>
          </cell>
          <cell r="H21">
            <v>5</v>
          </cell>
        </row>
        <row r="22">
          <cell r="B22" t="str">
            <v>Nindra</v>
          </cell>
          <cell r="C22">
            <v>3</v>
          </cell>
          <cell r="D22">
            <v>0</v>
          </cell>
          <cell r="E22">
            <v>0</v>
          </cell>
          <cell r="F22" t="str">
            <v>100.00</v>
          </cell>
          <cell r="G22" t="str">
            <v>100.00</v>
          </cell>
          <cell r="H22">
            <v>5</v>
          </cell>
        </row>
        <row r="23">
          <cell r="B23" t="str">
            <v>Palamaner UPS</v>
          </cell>
          <cell r="C23">
            <v>2</v>
          </cell>
          <cell r="D23">
            <v>0</v>
          </cell>
          <cell r="E23">
            <v>0</v>
          </cell>
          <cell r="F23" t="str">
            <v>100.00</v>
          </cell>
          <cell r="G23" t="str">
            <v>100.00</v>
          </cell>
          <cell r="H23">
            <v>5</v>
          </cell>
        </row>
        <row r="24">
          <cell r="B24" t="str">
            <v>Palasamudram</v>
          </cell>
          <cell r="C24">
            <v>1</v>
          </cell>
          <cell r="D24">
            <v>0</v>
          </cell>
          <cell r="E24">
            <v>0</v>
          </cell>
          <cell r="F24" t="str">
            <v>100.00</v>
          </cell>
          <cell r="G24" t="str">
            <v>100.00</v>
          </cell>
          <cell r="H24">
            <v>5</v>
          </cell>
        </row>
        <row r="25">
          <cell r="B25" t="str">
            <v>Panjani</v>
          </cell>
          <cell r="C25">
            <v>1</v>
          </cell>
          <cell r="D25">
            <v>0</v>
          </cell>
          <cell r="E25">
            <v>0</v>
          </cell>
          <cell r="F25" t="str">
            <v>100.00</v>
          </cell>
          <cell r="G25" t="str">
            <v>100.00</v>
          </cell>
          <cell r="H25">
            <v>5</v>
          </cell>
        </row>
        <row r="26">
          <cell r="B26" t="str">
            <v>Penumur</v>
          </cell>
          <cell r="C26">
            <v>2</v>
          </cell>
          <cell r="D26">
            <v>0</v>
          </cell>
          <cell r="E26">
            <v>0</v>
          </cell>
          <cell r="F26" t="str">
            <v>100.00</v>
          </cell>
          <cell r="G26" t="str">
            <v>100.00</v>
          </cell>
          <cell r="H26">
            <v>5</v>
          </cell>
        </row>
        <row r="27">
          <cell r="B27" t="str">
            <v>Puthalapattu UPS</v>
          </cell>
          <cell r="C27">
            <v>3</v>
          </cell>
          <cell r="D27">
            <v>0</v>
          </cell>
          <cell r="E27">
            <v>0</v>
          </cell>
          <cell r="F27" t="str">
            <v>100.00</v>
          </cell>
          <cell r="G27" t="str">
            <v>100.00</v>
          </cell>
          <cell r="H27">
            <v>5</v>
          </cell>
        </row>
        <row r="28">
          <cell r="B28" t="str">
            <v>Rallabudugur</v>
          </cell>
          <cell r="C28">
            <v>2</v>
          </cell>
          <cell r="D28">
            <v>0</v>
          </cell>
          <cell r="E28">
            <v>0</v>
          </cell>
          <cell r="F28" t="str">
            <v>100.00</v>
          </cell>
          <cell r="G28" t="str">
            <v>100.00</v>
          </cell>
          <cell r="H28">
            <v>5</v>
          </cell>
        </row>
        <row r="29">
          <cell r="B29" t="str">
            <v>Ramakuppam</v>
          </cell>
          <cell r="C29">
            <v>4</v>
          </cell>
          <cell r="D29">
            <v>0</v>
          </cell>
          <cell r="E29">
            <v>0</v>
          </cell>
          <cell r="F29" t="str">
            <v>100.00</v>
          </cell>
          <cell r="G29" t="str">
            <v>100.00</v>
          </cell>
          <cell r="H29">
            <v>5</v>
          </cell>
        </row>
        <row r="30">
          <cell r="B30" t="str">
            <v>Rompicherla</v>
          </cell>
          <cell r="C30">
            <v>1</v>
          </cell>
          <cell r="D30">
            <v>0</v>
          </cell>
          <cell r="E30">
            <v>0</v>
          </cell>
          <cell r="F30" t="str">
            <v>100.00</v>
          </cell>
          <cell r="G30" t="str">
            <v>100.00</v>
          </cell>
          <cell r="H30">
            <v>5</v>
          </cell>
        </row>
        <row r="31">
          <cell r="B31" t="str">
            <v>S.R.Puram</v>
          </cell>
          <cell r="C31">
            <v>1</v>
          </cell>
          <cell r="D31">
            <v>0</v>
          </cell>
          <cell r="E31">
            <v>0</v>
          </cell>
          <cell r="F31" t="str">
            <v>100.00</v>
          </cell>
          <cell r="G31" t="str">
            <v>100.00</v>
          </cell>
          <cell r="H31">
            <v>5</v>
          </cell>
        </row>
        <row r="32">
          <cell r="B32" t="str">
            <v>Thavanampalle</v>
          </cell>
          <cell r="C32">
            <v>3</v>
          </cell>
          <cell r="D32">
            <v>0</v>
          </cell>
          <cell r="E32">
            <v>0</v>
          </cell>
          <cell r="F32" t="str">
            <v>100.00</v>
          </cell>
          <cell r="G32" t="str">
            <v>100.00</v>
          </cell>
          <cell r="H32">
            <v>5</v>
          </cell>
        </row>
        <row r="33">
          <cell r="B33" t="str">
            <v>V.Kota UPS</v>
          </cell>
          <cell r="C33">
            <v>2</v>
          </cell>
          <cell r="D33">
            <v>0</v>
          </cell>
          <cell r="E33">
            <v>0</v>
          </cell>
          <cell r="F33" t="str">
            <v>100.00</v>
          </cell>
          <cell r="G33" t="str">
            <v>100.00</v>
          </cell>
          <cell r="H33">
            <v>5</v>
          </cell>
        </row>
        <row r="34">
          <cell r="B34" t="str">
            <v>Vedurukuppam</v>
          </cell>
          <cell r="C34">
            <v>0</v>
          </cell>
          <cell r="D34">
            <v>0</v>
          </cell>
          <cell r="E34">
            <v>0</v>
          </cell>
          <cell r="F34" t="str">
            <v>100.00</v>
          </cell>
          <cell r="G34" t="str">
            <v>100.00</v>
          </cell>
          <cell r="H34">
            <v>5</v>
          </cell>
        </row>
        <row r="35">
          <cell r="B35" t="str">
            <v>Vijayapuram</v>
          </cell>
          <cell r="C35">
            <v>0</v>
          </cell>
          <cell r="D35">
            <v>0</v>
          </cell>
          <cell r="E35">
            <v>0</v>
          </cell>
          <cell r="F35" t="str">
            <v>100.00</v>
          </cell>
          <cell r="G35" t="str">
            <v>100.00</v>
          </cell>
          <cell r="H35">
            <v>5</v>
          </cell>
        </row>
        <row r="36">
          <cell r="B36" t="str">
            <v>Yadamari</v>
          </cell>
          <cell r="C36">
            <v>3</v>
          </cell>
          <cell r="D36">
            <v>0</v>
          </cell>
          <cell r="E36">
            <v>0</v>
          </cell>
          <cell r="F36" t="str">
            <v>100.00</v>
          </cell>
          <cell r="G36" t="str">
            <v>100.00</v>
          </cell>
          <cell r="H36">
            <v>5</v>
          </cell>
        </row>
        <row r="37">
          <cell r="C37">
            <v>77</v>
          </cell>
          <cell r="D37">
            <v>0</v>
          </cell>
          <cell r="E37">
            <v>0</v>
          </cell>
          <cell r="F37">
            <v>100</v>
          </cell>
          <cell r="G37">
            <v>100</v>
          </cell>
          <cell r="H37">
            <v>5</v>
          </cell>
        </row>
      </sheetData>
      <sheetData sheetId="24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Baireddypalle</v>
          </cell>
          <cell r="C3">
            <v>0</v>
          </cell>
          <cell r="D3">
            <v>0</v>
          </cell>
        </row>
        <row r="4">
          <cell r="B4" t="str">
            <v>Bangarupalem UPS</v>
          </cell>
          <cell r="C4">
            <v>0</v>
          </cell>
          <cell r="D4">
            <v>0</v>
          </cell>
        </row>
        <row r="5">
          <cell r="B5" t="str">
            <v>CCS Chittoor UPS</v>
          </cell>
          <cell r="C5">
            <v>0</v>
          </cell>
          <cell r="D5">
            <v>0</v>
          </cell>
        </row>
        <row r="6">
          <cell r="B6" t="str">
            <v>Chittoor I Town UPS</v>
          </cell>
          <cell r="C6">
            <v>0</v>
          </cell>
          <cell r="D6">
            <v>0</v>
          </cell>
        </row>
        <row r="7">
          <cell r="B7" t="str">
            <v>Chittoor II Town UPS</v>
          </cell>
          <cell r="C7">
            <v>0</v>
          </cell>
          <cell r="D7">
            <v>0</v>
          </cell>
        </row>
        <row r="8">
          <cell r="B8" t="str">
            <v>Chittoor Taluk PS</v>
          </cell>
          <cell r="C8">
            <v>0</v>
          </cell>
          <cell r="D8">
            <v>0</v>
          </cell>
        </row>
        <row r="9">
          <cell r="B9" t="str">
            <v>Chittoor Traffic UPS</v>
          </cell>
          <cell r="C9">
            <v>0</v>
          </cell>
          <cell r="D9">
            <v>0</v>
          </cell>
        </row>
        <row r="10">
          <cell r="B10" t="str">
            <v>G.D.Nellore UPS</v>
          </cell>
          <cell r="C10">
            <v>0</v>
          </cell>
          <cell r="D10">
            <v>0</v>
          </cell>
        </row>
        <row r="11">
          <cell r="B11" t="str">
            <v>Gangavaram UPS</v>
          </cell>
          <cell r="C11">
            <v>0</v>
          </cell>
          <cell r="D11">
            <v>0</v>
          </cell>
        </row>
        <row r="12">
          <cell r="B12" t="str">
            <v>Gudipala</v>
          </cell>
          <cell r="C12">
            <v>0</v>
          </cell>
          <cell r="D12">
            <v>0</v>
          </cell>
        </row>
        <row r="13">
          <cell r="B13" t="str">
            <v>Gudipalli</v>
          </cell>
          <cell r="C13">
            <v>0</v>
          </cell>
          <cell r="D13">
            <v>0</v>
          </cell>
        </row>
        <row r="14">
          <cell r="B14" t="str">
            <v>Irala</v>
          </cell>
          <cell r="C14">
            <v>0</v>
          </cell>
          <cell r="D14">
            <v>0</v>
          </cell>
        </row>
        <row r="15">
          <cell r="B15" t="str">
            <v>K. Nagar</v>
          </cell>
          <cell r="C15">
            <v>0</v>
          </cell>
          <cell r="D15">
            <v>0</v>
          </cell>
        </row>
        <row r="16">
          <cell r="B16" t="str">
            <v>Kallur</v>
          </cell>
          <cell r="C16">
            <v>0</v>
          </cell>
          <cell r="D16">
            <v>0</v>
          </cell>
        </row>
        <row r="17">
          <cell r="B17" t="str">
            <v>Kanipakam</v>
          </cell>
          <cell r="C17">
            <v>0</v>
          </cell>
          <cell r="D17">
            <v>0</v>
          </cell>
        </row>
        <row r="18">
          <cell r="B18" t="str">
            <v>Kuppam UPS</v>
          </cell>
          <cell r="C18">
            <v>0</v>
          </cell>
          <cell r="D18">
            <v>0</v>
          </cell>
        </row>
        <row r="19">
          <cell r="B19" t="str">
            <v>Mahila UPS, Chittoor</v>
          </cell>
          <cell r="C19">
            <v>0</v>
          </cell>
          <cell r="D19">
            <v>0</v>
          </cell>
        </row>
        <row r="20">
          <cell r="B20" t="str">
            <v>Nagari UPS</v>
          </cell>
          <cell r="C20">
            <v>0</v>
          </cell>
          <cell r="D20">
            <v>0</v>
          </cell>
        </row>
        <row r="21">
          <cell r="B21" t="str">
            <v>Narsingarayanipet(N.R.Pet)</v>
          </cell>
          <cell r="C21">
            <v>0</v>
          </cell>
          <cell r="D21">
            <v>0</v>
          </cell>
        </row>
        <row r="22">
          <cell r="B22" t="str">
            <v>Nindra</v>
          </cell>
          <cell r="C22">
            <v>0</v>
          </cell>
          <cell r="D22">
            <v>0</v>
          </cell>
        </row>
        <row r="23">
          <cell r="B23" t="str">
            <v>Palamaner UPS</v>
          </cell>
          <cell r="C23">
            <v>0</v>
          </cell>
          <cell r="D23">
            <v>0</v>
          </cell>
        </row>
        <row r="24">
          <cell r="B24" t="str">
            <v>Palasamudram</v>
          </cell>
          <cell r="C24">
            <v>0</v>
          </cell>
          <cell r="D24">
            <v>0</v>
          </cell>
        </row>
        <row r="25">
          <cell r="B25" t="str">
            <v>Panjani</v>
          </cell>
          <cell r="C25">
            <v>0</v>
          </cell>
          <cell r="D25">
            <v>0</v>
          </cell>
        </row>
        <row r="26">
          <cell r="B26" t="str">
            <v>Penumur</v>
          </cell>
          <cell r="C26">
            <v>0</v>
          </cell>
          <cell r="D26">
            <v>0</v>
          </cell>
        </row>
        <row r="27">
          <cell r="B27" t="str">
            <v>Puthalapattu UPS</v>
          </cell>
          <cell r="C27">
            <v>0</v>
          </cell>
          <cell r="D27">
            <v>0</v>
          </cell>
        </row>
        <row r="28">
          <cell r="B28" t="str">
            <v>Rallabudugur</v>
          </cell>
          <cell r="C28">
            <v>0</v>
          </cell>
          <cell r="D28">
            <v>0</v>
          </cell>
        </row>
        <row r="29">
          <cell r="B29" t="str">
            <v>Ramakuppam</v>
          </cell>
          <cell r="C29">
            <v>0</v>
          </cell>
          <cell r="D29">
            <v>0</v>
          </cell>
        </row>
        <row r="30">
          <cell r="B30" t="str">
            <v>Rompicherla</v>
          </cell>
          <cell r="C30">
            <v>0</v>
          </cell>
          <cell r="D30">
            <v>0</v>
          </cell>
        </row>
        <row r="31">
          <cell r="B31" t="str">
            <v>S.R.Puram</v>
          </cell>
          <cell r="C31">
            <v>0</v>
          </cell>
          <cell r="D31">
            <v>0</v>
          </cell>
        </row>
        <row r="32">
          <cell r="B32" t="str">
            <v>Thavanampalle</v>
          </cell>
          <cell r="C32">
            <v>0</v>
          </cell>
          <cell r="D32">
            <v>0</v>
          </cell>
        </row>
        <row r="33">
          <cell r="B33" t="str">
            <v>V.Kota UPS</v>
          </cell>
          <cell r="C33">
            <v>0</v>
          </cell>
          <cell r="D33">
            <v>0</v>
          </cell>
        </row>
        <row r="34">
          <cell r="B34" t="str">
            <v>Vedurukuppam</v>
          </cell>
          <cell r="C34">
            <v>0</v>
          </cell>
          <cell r="D34">
            <v>0</v>
          </cell>
        </row>
        <row r="35">
          <cell r="B35" t="str">
            <v>Vijayapuram</v>
          </cell>
          <cell r="C35">
            <v>0</v>
          </cell>
          <cell r="D35">
            <v>0</v>
          </cell>
        </row>
        <row r="36">
          <cell r="B36" t="str">
            <v>Yadamari</v>
          </cell>
          <cell r="C36">
            <v>0</v>
          </cell>
          <cell r="D36">
            <v>0</v>
          </cell>
        </row>
      </sheetData>
      <sheetData sheetId="25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Baireddypalle</v>
          </cell>
          <cell r="C3">
            <v>0</v>
          </cell>
          <cell r="D3">
            <v>0</v>
          </cell>
        </row>
        <row r="4">
          <cell r="B4" t="str">
            <v>Bangarupalem UPS</v>
          </cell>
          <cell r="C4">
            <v>0</v>
          </cell>
          <cell r="D4">
            <v>0</v>
          </cell>
        </row>
        <row r="5">
          <cell r="B5" t="str">
            <v>CCS Chittoor UPS</v>
          </cell>
          <cell r="C5">
            <v>0</v>
          </cell>
          <cell r="D5">
            <v>0</v>
          </cell>
        </row>
        <row r="6">
          <cell r="B6" t="str">
            <v>Chittoor I Town UPS</v>
          </cell>
          <cell r="C6">
            <v>0</v>
          </cell>
          <cell r="D6">
            <v>0</v>
          </cell>
        </row>
        <row r="7">
          <cell r="B7" t="str">
            <v>Chittoor II Town UPS</v>
          </cell>
          <cell r="C7">
            <v>0</v>
          </cell>
          <cell r="D7">
            <v>0</v>
          </cell>
        </row>
        <row r="8">
          <cell r="B8" t="str">
            <v>Chittoor Taluk PS</v>
          </cell>
          <cell r="C8">
            <v>0</v>
          </cell>
          <cell r="D8">
            <v>0</v>
          </cell>
        </row>
        <row r="9">
          <cell r="B9" t="str">
            <v>Chittoor Traffic UPS</v>
          </cell>
          <cell r="C9">
            <v>0</v>
          </cell>
          <cell r="D9">
            <v>0</v>
          </cell>
        </row>
        <row r="10">
          <cell r="B10" t="str">
            <v>G.D.Nellore UPS</v>
          </cell>
          <cell r="C10">
            <v>0</v>
          </cell>
          <cell r="D10">
            <v>0</v>
          </cell>
        </row>
        <row r="11">
          <cell r="B11" t="str">
            <v>Gangavaram UPS</v>
          </cell>
          <cell r="C11">
            <v>0</v>
          </cell>
          <cell r="D11">
            <v>0</v>
          </cell>
        </row>
        <row r="12">
          <cell r="B12" t="str">
            <v>Gudipala</v>
          </cell>
          <cell r="C12">
            <v>0</v>
          </cell>
          <cell r="D12">
            <v>0</v>
          </cell>
        </row>
        <row r="13">
          <cell r="B13" t="str">
            <v>Gudipalli</v>
          </cell>
          <cell r="C13">
            <v>0</v>
          </cell>
          <cell r="D13">
            <v>0</v>
          </cell>
        </row>
        <row r="14">
          <cell r="B14" t="str">
            <v>Irala</v>
          </cell>
          <cell r="C14">
            <v>0</v>
          </cell>
          <cell r="D14">
            <v>0</v>
          </cell>
        </row>
        <row r="15">
          <cell r="B15" t="str">
            <v>K. Nagar</v>
          </cell>
          <cell r="C15">
            <v>0</v>
          </cell>
          <cell r="D15">
            <v>0</v>
          </cell>
        </row>
        <row r="16">
          <cell r="B16" t="str">
            <v>Kallur</v>
          </cell>
          <cell r="C16">
            <v>0</v>
          </cell>
          <cell r="D16">
            <v>0</v>
          </cell>
        </row>
        <row r="17">
          <cell r="B17" t="str">
            <v>Kanipakam</v>
          </cell>
          <cell r="C17">
            <v>0</v>
          </cell>
          <cell r="D17">
            <v>0</v>
          </cell>
        </row>
        <row r="18">
          <cell r="B18" t="str">
            <v>Kuppam UPS</v>
          </cell>
          <cell r="C18">
            <v>0</v>
          </cell>
          <cell r="D18">
            <v>0</v>
          </cell>
        </row>
        <row r="19">
          <cell r="B19" t="str">
            <v>Mahila UPS, Chittoor</v>
          </cell>
          <cell r="C19">
            <v>0</v>
          </cell>
          <cell r="D19">
            <v>0</v>
          </cell>
        </row>
        <row r="20">
          <cell r="B20" t="str">
            <v>Nagari UPS</v>
          </cell>
          <cell r="C20">
            <v>0</v>
          </cell>
          <cell r="D20">
            <v>0</v>
          </cell>
        </row>
        <row r="21">
          <cell r="B21" t="str">
            <v>Narsingarayanipet(N.R.Pet)</v>
          </cell>
          <cell r="C21">
            <v>0</v>
          </cell>
          <cell r="D21">
            <v>0</v>
          </cell>
        </row>
        <row r="22">
          <cell r="B22" t="str">
            <v>Nindra</v>
          </cell>
          <cell r="C22">
            <v>0</v>
          </cell>
          <cell r="D22">
            <v>0</v>
          </cell>
        </row>
        <row r="23">
          <cell r="B23" t="str">
            <v>Palamaner UPS</v>
          </cell>
          <cell r="C23">
            <v>0</v>
          </cell>
          <cell r="D23">
            <v>0</v>
          </cell>
        </row>
        <row r="24">
          <cell r="B24" t="str">
            <v>Palasamudram</v>
          </cell>
          <cell r="C24">
            <v>0</v>
          </cell>
          <cell r="D24">
            <v>0</v>
          </cell>
        </row>
        <row r="25">
          <cell r="B25" t="str">
            <v>Panjani</v>
          </cell>
          <cell r="C25">
            <v>0</v>
          </cell>
          <cell r="D25">
            <v>0</v>
          </cell>
        </row>
        <row r="26">
          <cell r="B26" t="str">
            <v>Penumur</v>
          </cell>
          <cell r="C26">
            <v>0</v>
          </cell>
          <cell r="D26">
            <v>0</v>
          </cell>
        </row>
        <row r="27">
          <cell r="B27" t="str">
            <v>Puthalapattu UPS</v>
          </cell>
          <cell r="C27">
            <v>0</v>
          </cell>
          <cell r="D27">
            <v>0</v>
          </cell>
        </row>
        <row r="28">
          <cell r="B28" t="str">
            <v>Rallabudugur</v>
          </cell>
          <cell r="C28">
            <v>0</v>
          </cell>
          <cell r="D28">
            <v>0</v>
          </cell>
        </row>
        <row r="29">
          <cell r="B29" t="str">
            <v>Ramakuppam</v>
          </cell>
          <cell r="C29">
            <v>0</v>
          </cell>
          <cell r="D29">
            <v>0</v>
          </cell>
        </row>
        <row r="30">
          <cell r="B30" t="str">
            <v>Rompicherla</v>
          </cell>
          <cell r="C30">
            <v>0</v>
          </cell>
          <cell r="D30">
            <v>0</v>
          </cell>
        </row>
        <row r="31">
          <cell r="B31" t="str">
            <v>S.R.Puram</v>
          </cell>
          <cell r="C31">
            <v>0</v>
          </cell>
          <cell r="D31">
            <v>0</v>
          </cell>
        </row>
        <row r="32">
          <cell r="B32" t="str">
            <v>Thavanampalle</v>
          </cell>
          <cell r="C32">
            <v>0</v>
          </cell>
          <cell r="D32">
            <v>0</v>
          </cell>
        </row>
        <row r="33">
          <cell r="B33" t="str">
            <v>V.Kota UPS</v>
          </cell>
          <cell r="C33">
            <v>0</v>
          </cell>
          <cell r="D33">
            <v>0</v>
          </cell>
        </row>
        <row r="34">
          <cell r="B34" t="str">
            <v>Vedurukuppam</v>
          </cell>
          <cell r="C34">
            <v>0</v>
          </cell>
          <cell r="D34">
            <v>0</v>
          </cell>
        </row>
        <row r="35">
          <cell r="B35" t="str">
            <v>Vijayapuram</v>
          </cell>
          <cell r="C35">
            <v>0</v>
          </cell>
          <cell r="D35">
            <v>0</v>
          </cell>
        </row>
        <row r="36">
          <cell r="B36" t="str">
            <v>Yadamari</v>
          </cell>
          <cell r="C36">
            <v>0</v>
          </cell>
          <cell r="D36">
            <v>0</v>
          </cell>
        </row>
      </sheetData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EA6B-0E47-41E1-A407-B2267A7531A9}">
  <sheetPr>
    <tabColor rgb="FF00B0F0"/>
    <pageSetUpPr fitToPage="1"/>
  </sheetPr>
  <dimension ref="A1:Y36"/>
  <sheetViews>
    <sheetView tabSelected="1" workbookViewId="0">
      <pane ySplit="2" topLeftCell="A15" activePane="bottomLeft" state="frozen"/>
      <selection pane="bottomLeft" activeCell="O26" sqref="O26"/>
    </sheetView>
  </sheetViews>
  <sheetFormatPr defaultRowHeight="14.4"/>
  <cols>
    <col min="1" max="1" width="23.5546875" customWidth="1"/>
    <col min="2" max="22" width="7" style="13" customWidth="1"/>
  </cols>
  <sheetData>
    <row r="1" spans="1:25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3.95" customHeight="1">
      <c r="A2" s="4" t="s">
        <v>25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0.05</v>
      </c>
      <c r="Q2" s="6">
        <v>0.05</v>
      </c>
      <c r="R2" s="6">
        <v>0.05</v>
      </c>
      <c r="S2" s="6">
        <v>0.05</v>
      </c>
      <c r="T2" s="6">
        <v>0.05</v>
      </c>
      <c r="U2" s="6">
        <v>0.05</v>
      </c>
      <c r="V2" s="6">
        <v>0.05</v>
      </c>
      <c r="W2" s="6">
        <v>0.05</v>
      </c>
      <c r="X2" s="5">
        <v>2.5000000000000001E-2</v>
      </c>
      <c r="Y2" s="5">
        <v>2.5000000000000001E-2</v>
      </c>
    </row>
    <row r="3" spans="1:25" s="11" customFormat="1" ht="25.95" customHeight="1">
      <c r="A3" s="7" t="s">
        <v>26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VLOOKUP(A3,'[1]5_CCTNS_TILL'!B:P,14,0)</f>
        <v>99.89</v>
      </c>
      <c r="G3" s="8">
        <f>VLOOKUP(A3,'[1]6_CCTNS_1_7'!B:P,14,0)</f>
        <v>79.622500000000002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VLOOKUP(A3,'[1]10_ESAKSHYA'!B:H,6,0)</f>
        <v>99.66101694915254</v>
      </c>
      <c r="L3" s="8">
        <f>VLOOKUP(A3,'[1]11_CRIMAC'!B:F,4,0)</f>
        <v>100</v>
      </c>
      <c r="M3" s="8">
        <f>VLOOKUP(A3,'[1]12_CEIR'!B:L,10,0)</f>
        <v>49.580745341614907</v>
      </c>
      <c r="N3" s="8">
        <f>VLOOKUP(A3,'[1]13_EPROSEC'!B:H,6,0)</f>
        <v>100</v>
      </c>
      <c r="O3" s="8">
        <f>VLOOKUP(A3,'[1]14_FIR_CS_COURT'!B:L,11,0)</f>
        <v>100</v>
      </c>
      <c r="P3" s="8">
        <f>VLOOKUP(A3,'[1]15_EOFFICE'!B:K,9,0)</f>
        <v>100</v>
      </c>
      <c r="Q3" s="8">
        <f>VLOOKUP(A3,'[1]16_APOLIS'!B:K,10,0)</f>
        <v>100</v>
      </c>
      <c r="R3" s="8">
        <f>VLOOKUP(A3,'[1]17_DRONE_FLYING'!B:J,9,0)</f>
        <v>68</v>
      </c>
      <c r="S3" s="8">
        <f>VLOOKUP(A3,'[1]18_112_TABS'!B:H,6,0)</f>
        <v>100</v>
      </c>
      <c r="T3" s="8">
        <f>VLOOKUP(A3,'[1]19_DIAL100_RES'!B:H,6,0)</f>
        <v>83.7</v>
      </c>
      <c r="U3" s="8">
        <f>VLOOKUP(A3,'[1]20_CCTV_360'!B:S,18,0)</f>
        <v>78.571428571428569</v>
      </c>
      <c r="V3" s="8">
        <f>VLOOKUP(A3,'[1]21_NEWS360AI'!B:D,2,0)</f>
        <v>0</v>
      </c>
      <c r="W3" s="9" t="str">
        <f>VLOOKUP(A3,'[1]27_EFSL'!B:H,6,0)</f>
        <v>100.00</v>
      </c>
      <c r="X3" s="10">
        <f>VLOOKUP(A3,'[1]28_UC3'!B:D,2,0)</f>
        <v>0</v>
      </c>
      <c r="Y3" s="10">
        <f>VLOOKUP(A3,'[1]29_UC4'!B:D,2,0)</f>
        <v>0</v>
      </c>
    </row>
    <row r="4" spans="1:25" s="11" customFormat="1" ht="25.95" customHeight="1">
      <c r="A4" s="7" t="s">
        <v>27</v>
      </c>
      <c r="B4" s="8" t="str">
        <f>VLOOKUP(A4,'[1]1_MEDLEAPR_PME'!B:H,6,0)</f>
        <v>100.00</v>
      </c>
      <c r="C4" s="8" t="str">
        <f>VLOOKUP(A4,'[1]2_MEDLEAPR_MLC'!B:I,6,0)</f>
        <v>100.00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VLOOKUP(A4,'[1]5_CCTNS_TILL'!B:P,14,0)</f>
        <v>100</v>
      </c>
      <c r="G4" s="8">
        <f>VLOOKUP(A4,'[1]6_CCTNS_1_7'!B:P,14,0)</f>
        <v>99.4375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VLOOKUP(A4,'[1]10_ESAKSHYA'!B:H,6,0)</f>
        <v>95.238095238095241</v>
      </c>
      <c r="L4" s="8">
        <f>VLOOKUP(A4,'[1]11_CRIMAC'!B:F,4,0)</f>
        <v>100</v>
      </c>
      <c r="M4" s="8">
        <f>VLOOKUP(A4,'[1]12_CEIR'!B:L,10,0)</f>
        <v>63.688423645320192</v>
      </c>
      <c r="N4" s="8">
        <f>VLOOKUP(A4,'[1]13_EPROSEC'!B:H,6,0)</f>
        <v>100</v>
      </c>
      <c r="O4" s="8">
        <f>VLOOKUP(A4,'[1]14_FIR_CS_COURT'!B:L,11,0)</f>
        <v>87.900874635568513</v>
      </c>
      <c r="P4" s="8">
        <f>VLOOKUP(A4,'[1]15_EOFFICE'!B:K,9,0)</f>
        <v>100</v>
      </c>
      <c r="Q4" s="8">
        <f>VLOOKUP(A4,'[1]16_APOLIS'!B:K,10,0)</f>
        <v>100</v>
      </c>
      <c r="R4" s="8">
        <f>VLOOKUP(A4,'[1]17_DRONE_FLYING'!B:J,9,0)</f>
        <v>80</v>
      </c>
      <c r="S4" s="8">
        <f>VLOOKUP(A4,'[1]18_112_TABS'!B:H,6,0)</f>
        <v>100</v>
      </c>
      <c r="T4" s="8">
        <f>VLOOKUP(A4,'[1]19_DIAL100_RES'!B:H,6,0)</f>
        <v>42.61</v>
      </c>
      <c r="U4" s="8">
        <f>VLOOKUP(A4,'[1]20_CCTV_360'!B:S,18,0)</f>
        <v>100</v>
      </c>
      <c r="V4" s="8">
        <f>VLOOKUP(A4,'[1]21_NEWS360AI'!B:D,2,0)</f>
        <v>0</v>
      </c>
      <c r="W4" s="9" t="str">
        <f>VLOOKUP(A4,'[1]27_EFSL'!B:H,6,0)</f>
        <v>100.00</v>
      </c>
      <c r="X4" s="10">
        <f>VLOOKUP(A4,'[1]28_UC3'!B:D,2,0)</f>
        <v>0</v>
      </c>
      <c r="Y4" s="10">
        <f>VLOOKUP(A4,'[1]29_UC4'!B:D,2,0)</f>
        <v>0</v>
      </c>
    </row>
    <row r="5" spans="1:25" s="11" customFormat="1" ht="25.95" customHeight="1">
      <c r="A5" s="7" t="s">
        <v>28</v>
      </c>
      <c r="B5" s="8" t="str">
        <f>VLOOKUP(A5,'[1]1_MEDLEAPR_PME'!B:H,6,0)</f>
        <v>100.00</v>
      </c>
      <c r="C5" s="8" t="str">
        <f>VLOOKUP(A5,'[1]2_MEDLEAPR_MLC'!B:I,6,0)</f>
        <v>100.00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VLOOKUP(A5,'[1]5_CCTNS_TILL'!B:P,14,0)</f>
        <v>100</v>
      </c>
      <c r="G5" s="8">
        <f>VLOOKUP(A5,'[1]6_CCTNS_1_7'!B:P,14,0)</f>
        <v>50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VLOOKUP(A5,'[1]10_ESAKSHYA'!B:H,6,0)</f>
        <v>100</v>
      </c>
      <c r="L5" s="8">
        <f>VLOOKUP(A5,'[1]11_CRIMAC'!B:F,4,0)</f>
        <v>100</v>
      </c>
      <c r="M5" s="8">
        <f>VLOOKUP(A5,'[1]12_CEIR'!B:L,10,0)</f>
        <v>85.49549549549549</v>
      </c>
      <c r="N5" s="8">
        <f>VLOOKUP(A5,'[1]13_EPROSEC'!B:H,6,0)</f>
        <v>100</v>
      </c>
      <c r="O5" s="8">
        <f>VLOOKUP(A5,'[1]14_FIR_CS_COURT'!B:L,11,0)</f>
        <v>100</v>
      </c>
      <c r="P5" s="8">
        <f>VLOOKUP(A5,'[1]15_EOFFICE'!B:K,9,0)</f>
        <v>100</v>
      </c>
      <c r="Q5" s="8">
        <f>VLOOKUP(A5,'[1]16_APOLIS'!B:K,10,0)</f>
        <v>100</v>
      </c>
      <c r="R5" s="8">
        <f>VLOOKUP(A5,'[1]17_DRONE_FLYING'!B:J,9,0)</f>
        <v>20</v>
      </c>
      <c r="S5" s="8">
        <f>VLOOKUP(A5,'[1]18_112_TABS'!B:H,6,0)</f>
        <v>100</v>
      </c>
      <c r="T5" s="8">
        <f>VLOOKUP(A5,'[1]19_DIAL100_RES'!B:H,6,0)</f>
        <v>50</v>
      </c>
      <c r="U5" s="8">
        <f>VLOOKUP(A5,'[1]20_CCTV_360'!B:S,18,0)</f>
        <v>92.857142857142861</v>
      </c>
      <c r="V5" s="8">
        <f>VLOOKUP(A5,'[1]21_NEWS360AI'!B:D,2,0)</f>
        <v>0</v>
      </c>
      <c r="W5" s="9" t="str">
        <f>VLOOKUP(A5,'[1]27_EFSL'!B:H,6,0)</f>
        <v>100.00</v>
      </c>
      <c r="X5" s="10">
        <f>VLOOKUP(A5,'[1]28_UC3'!B:D,2,0)</f>
        <v>0</v>
      </c>
      <c r="Y5" s="10">
        <f>VLOOKUP(A5,'[1]29_UC4'!B:D,2,0)</f>
        <v>0</v>
      </c>
    </row>
    <row r="6" spans="1:25" s="11" customFormat="1" ht="25.95" customHeight="1">
      <c r="A6" s="12" t="s">
        <v>29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VLOOKUP(A6,'[1]5_CCTNS_TILL'!B:P,14,0)</f>
        <v>97.07</v>
      </c>
      <c r="G6" s="8">
        <f>VLOOKUP(A6,'[1]6_CCTNS_1_7'!B:P,14,0)</f>
        <v>45.09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VLOOKUP(A6,'[1]10_ESAKSHYA'!B:H,6,0)</f>
        <v>99.206349206349202</v>
      </c>
      <c r="L6" s="8">
        <f>VLOOKUP(A6,'[1]11_CRIMAC'!B:F,4,0)</f>
        <v>100</v>
      </c>
      <c r="M6" s="8">
        <f>VLOOKUP(A6,'[1]12_CEIR'!B:L,10,0)</f>
        <v>46.032633500684618</v>
      </c>
      <c r="N6" s="8">
        <f>VLOOKUP(A6,'[1]13_EPROSEC'!B:H,6,0)</f>
        <v>100</v>
      </c>
      <c r="O6" s="8">
        <f>VLOOKUP(A6,'[1]14_FIR_CS_COURT'!B:L,11,0)</f>
        <v>100</v>
      </c>
      <c r="P6" s="8">
        <f>VLOOKUP(A6,'[1]15_EOFFICE'!B:K,9,0)</f>
        <v>100</v>
      </c>
      <c r="Q6" s="8">
        <f>VLOOKUP(A6,'[1]16_APOLIS'!B:K,10,0)</f>
        <v>100</v>
      </c>
      <c r="R6" s="8">
        <f>VLOOKUP(A6,'[1]17_DRONE_FLYING'!B:J,9,0)</f>
        <v>80</v>
      </c>
      <c r="S6" s="8">
        <f>VLOOKUP(A6,'[1]18_112_TABS'!B:H,6,0)</f>
        <v>66.666666666666657</v>
      </c>
      <c r="T6" s="8">
        <f>VLOOKUP(A6,'[1]19_DIAL100_RES'!B:H,6,0)</f>
        <v>76.52</v>
      </c>
      <c r="U6" s="8">
        <f>VLOOKUP(A6,'[1]20_CCTV_360'!B:S,18,0)</f>
        <v>92.857142857142861</v>
      </c>
      <c r="V6" s="8">
        <f>VLOOKUP(A6,'[1]21_NEWS360AI'!B:D,2,0)</f>
        <v>0</v>
      </c>
      <c r="W6" s="9" t="str">
        <f>VLOOKUP(A6,'[1]27_EFSL'!B:H,6,0)</f>
        <v>100.00</v>
      </c>
      <c r="X6" s="10">
        <f>VLOOKUP(A6,'[1]28_UC3'!B:D,2,0)</f>
        <v>0</v>
      </c>
      <c r="Y6" s="10">
        <f>VLOOKUP(A6,'[1]29_UC4'!B:D,2,0)</f>
        <v>0</v>
      </c>
    </row>
    <row r="7" spans="1:25" s="11" customFormat="1" ht="25.95" customHeight="1">
      <c r="A7" s="12" t="s">
        <v>30</v>
      </c>
      <c r="B7" s="8" t="str">
        <f>VLOOKUP(A7,'[1]1_MEDLEAPR_PME'!B:H,6,0)</f>
        <v>100.00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VLOOKUP(A7,'[1]5_CCTNS_TILL'!B:P,14,0)</f>
        <v>95.72</v>
      </c>
      <c r="G7" s="8">
        <f>VLOOKUP(A7,'[1]6_CCTNS_1_7'!B:P,14,0)</f>
        <v>71.62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VLOOKUP(A7,'[1]10_ESAKSHYA'!B:H,6,0)</f>
        <v>100</v>
      </c>
      <c r="L7" s="8">
        <f>VLOOKUP(A7,'[1]11_CRIMAC'!B:F,4,0)</f>
        <v>100</v>
      </c>
      <c r="M7" s="8">
        <f>VLOOKUP(A7,'[1]12_CEIR'!B:L,10,0)</f>
        <v>41.032757051865332</v>
      </c>
      <c r="N7" s="8">
        <f>VLOOKUP(A7,'[1]13_EPROSEC'!B:H,6,0)</f>
        <v>100</v>
      </c>
      <c r="O7" s="8">
        <f>VLOOKUP(A7,'[1]14_FIR_CS_COURT'!B:L,11,0)</f>
        <v>100</v>
      </c>
      <c r="P7" s="8">
        <f>VLOOKUP(A7,'[1]15_EOFFICE'!B:K,9,0)</f>
        <v>100</v>
      </c>
      <c r="Q7" s="8">
        <f>VLOOKUP(A7,'[1]16_APOLIS'!B:K,10,0)</f>
        <v>100</v>
      </c>
      <c r="R7" s="8">
        <f>VLOOKUP(A7,'[1]17_DRONE_FLYING'!B:J,9,0)</f>
        <v>66</v>
      </c>
      <c r="S7" s="8">
        <f>VLOOKUP(A7,'[1]18_112_TABS'!B:H,6,0)</f>
        <v>100</v>
      </c>
      <c r="T7" s="8">
        <f>VLOOKUP(A7,'[1]19_DIAL100_RES'!B:H,6,0)</f>
        <v>62.39</v>
      </c>
      <c r="U7" s="8">
        <f>VLOOKUP(A7,'[1]20_CCTV_360'!B:S,18,0)</f>
        <v>85.714285714285708</v>
      </c>
      <c r="V7" s="8">
        <f>VLOOKUP(A7,'[1]21_NEWS360AI'!B:D,2,0)</f>
        <v>0</v>
      </c>
      <c r="W7" s="9" t="str">
        <f>VLOOKUP(A7,'[1]27_EFSL'!B:H,6,0)</f>
        <v>100.00</v>
      </c>
      <c r="X7" s="10">
        <f>VLOOKUP(A7,'[1]28_UC3'!B:D,2,0)</f>
        <v>0</v>
      </c>
      <c r="Y7" s="10">
        <f>VLOOKUP(A7,'[1]29_UC4'!B:D,2,0)</f>
        <v>0</v>
      </c>
    </row>
    <row r="8" spans="1:25" s="11" customFormat="1" ht="25.95" customHeight="1">
      <c r="A8" s="12" t="s">
        <v>31</v>
      </c>
      <c r="B8" s="8" t="str">
        <f>VLOOKUP(A8,'[1]1_MEDLEAPR_PME'!B:H,6,0)</f>
        <v>100.00</v>
      </c>
      <c r="C8" s="8">
        <f>VLOOKUP(A8,'[1]2_MEDLEAPR_MLC'!B:I,6,0)</f>
        <v>100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VLOOKUP(A8,'[1]5_CCTNS_TILL'!B:P,14,0)</f>
        <v>97.89</v>
      </c>
      <c r="G8" s="8">
        <f>VLOOKUP(A8,'[1]6_CCTNS_1_7'!B:P,14,0)</f>
        <v>55.7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VLOOKUP(A8,'[1]10_ESAKSHYA'!B:H,6,0)</f>
        <v>98.679867986798683</v>
      </c>
      <c r="L8" s="8">
        <f>VLOOKUP(A8,'[1]11_CRIMAC'!B:F,4,0)</f>
        <v>100</v>
      </c>
      <c r="M8" s="8">
        <f>VLOOKUP(A8,'[1]12_CEIR'!B:L,10,0)</f>
        <v>26.593915343915342</v>
      </c>
      <c r="N8" s="8">
        <f>VLOOKUP(A8,'[1]13_EPROSEC'!B:H,6,0)</f>
        <v>100</v>
      </c>
      <c r="O8" s="8">
        <f>VLOOKUP(A8,'[1]14_FIR_CS_COURT'!B:L,11,0)</f>
        <v>99.731182795698928</v>
      </c>
      <c r="P8" s="8">
        <f>VLOOKUP(A8,'[1]15_EOFFICE'!B:K,9,0)</f>
        <v>100</v>
      </c>
      <c r="Q8" s="8">
        <f>VLOOKUP(A8,'[1]16_APOLIS'!B:K,10,0)</f>
        <v>97.297297297297291</v>
      </c>
      <c r="R8" s="8">
        <f>VLOOKUP(A8,'[1]17_DRONE_FLYING'!B:J,9,0)</f>
        <v>63</v>
      </c>
      <c r="S8" s="8">
        <f>VLOOKUP(A8,'[1]18_112_TABS'!B:H,6,0)</f>
        <v>83.333333333333343</v>
      </c>
      <c r="T8" s="8">
        <f>VLOOKUP(A8,'[1]19_DIAL100_RES'!B:H,6,0)</f>
        <v>9.35</v>
      </c>
      <c r="U8" s="8">
        <f>VLOOKUP(A8,'[1]20_CCTV_360'!B:S,18,0)</f>
        <v>85.714285714285708</v>
      </c>
      <c r="V8" s="8">
        <f>VLOOKUP(A8,'[1]21_NEWS360AI'!B:D,2,0)</f>
        <v>0</v>
      </c>
      <c r="W8" s="9" t="str">
        <f>VLOOKUP(A8,'[1]27_EFSL'!B:H,6,0)</f>
        <v>100.00</v>
      </c>
      <c r="X8" s="10">
        <f>VLOOKUP(A8,'[1]28_UC3'!B:D,2,0)</f>
        <v>0</v>
      </c>
      <c r="Y8" s="10">
        <f>VLOOKUP(A8,'[1]29_UC4'!B:D,2,0)</f>
        <v>0</v>
      </c>
    </row>
    <row r="9" spans="1:25" s="11" customFormat="1" ht="25.95" customHeight="1">
      <c r="A9" s="12" t="s">
        <v>32</v>
      </c>
      <c r="B9" s="8">
        <f>VLOOKUP(A9,'[1]1_MEDLEAPR_PME'!B:H,6,0)</f>
        <v>100</v>
      </c>
      <c r="C9" s="8">
        <f>VLOOKUP(A9,'[1]2_MEDLEAPR_MLC'!B:I,6,0)</f>
        <v>100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VLOOKUP(A9,'[1]5_CCTNS_TILL'!B:P,14,0)</f>
        <v>100</v>
      </c>
      <c r="G9" s="8">
        <f>VLOOKUP(A9,'[1]6_CCTNS_1_7'!B:P,14,0)</f>
        <v>75.599999999999994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VLOOKUP(A9,'[1]10_ESAKSHYA'!B:H,6,0)</f>
        <v>100</v>
      </c>
      <c r="L9" s="8">
        <f>VLOOKUP(A9,'[1]11_CRIMAC'!B:F,4,0)</f>
        <v>100</v>
      </c>
      <c r="M9" s="8">
        <f>VLOOKUP(A9,'[1]12_CEIR'!B:L,10,0)</f>
        <v>50</v>
      </c>
      <c r="N9" s="8">
        <f>VLOOKUP(A9,'[1]13_EPROSEC'!B:H,6,0)</f>
        <v>100</v>
      </c>
      <c r="O9" s="8">
        <f>VLOOKUP(A9,'[1]14_FIR_CS_COURT'!B:L,11,0)</f>
        <v>100</v>
      </c>
      <c r="P9" s="8">
        <f>VLOOKUP(A9,'[1]15_EOFFICE'!B:K,9,0)</f>
        <v>100</v>
      </c>
      <c r="Q9" s="8">
        <f>VLOOKUP(A9,'[1]16_APOLIS'!B:K,10,0)</f>
        <v>100</v>
      </c>
      <c r="R9" s="8">
        <f>VLOOKUP(A9,'[1]17_DRONE_FLYING'!B:J,9,0)</f>
        <v>20</v>
      </c>
      <c r="S9" s="8">
        <f>VLOOKUP(A9,'[1]18_112_TABS'!B:H,6,0)</f>
        <v>100</v>
      </c>
      <c r="T9" s="8">
        <f>VLOOKUP(A9,'[1]19_DIAL100_RES'!B:H,6,0)</f>
        <v>63.7</v>
      </c>
      <c r="U9" s="8">
        <f>VLOOKUP(A9,'[1]20_CCTV_360'!B:S,18,0)</f>
        <v>100</v>
      </c>
      <c r="V9" s="8">
        <f>VLOOKUP(A9,'[1]21_NEWS360AI'!B:D,2,0)</f>
        <v>0</v>
      </c>
      <c r="W9" s="9" t="str">
        <f>VLOOKUP(A9,'[1]27_EFSL'!B:H,6,0)</f>
        <v>100.00</v>
      </c>
      <c r="X9" s="10">
        <f>VLOOKUP(A9,'[1]28_UC3'!B:D,2,0)</f>
        <v>0</v>
      </c>
      <c r="Y9" s="10">
        <f>VLOOKUP(A9,'[1]29_UC4'!B:D,2,0)</f>
        <v>0</v>
      </c>
    </row>
    <row r="10" spans="1:25" s="11" customFormat="1" ht="25.95" customHeight="1">
      <c r="A10" s="12" t="s">
        <v>33</v>
      </c>
      <c r="B10" s="8">
        <f>VLOOKUP(A10,'[1]1_MEDLEAPR_PME'!B:H,6,0)</f>
        <v>100</v>
      </c>
      <c r="C10" s="8" t="str">
        <f>VLOOKUP(A10,'[1]2_MEDLEAPR_MLC'!B:I,6,0)</f>
        <v>100.00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VLOOKUP(A10,'[1]5_CCTNS_TILL'!B:P,14,0)</f>
        <v>100</v>
      </c>
      <c r="G10" s="8">
        <f>VLOOKUP(A10,'[1]6_CCTNS_1_7'!B:P,14,0)</f>
        <v>55.7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VLOOKUP(A10,'[1]10_ESAKSHYA'!B:H,6,0)</f>
        <v>100</v>
      </c>
      <c r="L10" s="8">
        <f>VLOOKUP(A10,'[1]11_CRIMAC'!B:F,4,0)</f>
        <v>100</v>
      </c>
      <c r="M10" s="8">
        <f>VLOOKUP(A10,'[1]12_CEIR'!B:L,10,0)</f>
        <v>41.130952380952387</v>
      </c>
      <c r="N10" s="8">
        <f>VLOOKUP(A10,'[1]13_EPROSEC'!B:H,6,0)</f>
        <v>100</v>
      </c>
      <c r="O10" s="8">
        <f>VLOOKUP(A10,'[1]14_FIR_CS_COURT'!B:L,11,0)</f>
        <v>99</v>
      </c>
      <c r="P10" s="8">
        <f>VLOOKUP(A10,'[1]15_EOFFICE'!B:K,9,0)</f>
        <v>0</v>
      </c>
      <c r="Q10" s="8">
        <f>VLOOKUP(A10,'[1]16_APOLIS'!B:K,10,0)</f>
        <v>100</v>
      </c>
      <c r="R10" s="8">
        <f>VLOOKUP(A10,'[1]17_DRONE_FLYING'!B:J,9,0)</f>
        <v>80</v>
      </c>
      <c r="S10" s="8">
        <f>VLOOKUP(A10,'[1]18_112_TABS'!B:H,6,0)</f>
        <v>100</v>
      </c>
      <c r="T10" s="8">
        <f>VLOOKUP(A10,'[1]19_DIAL100_RES'!B:H,6,0)</f>
        <v>63.04</v>
      </c>
      <c r="U10" s="8">
        <f>VLOOKUP(A10,'[1]20_CCTV_360'!B:S,18,0)</f>
        <v>85.714285714285708</v>
      </c>
      <c r="V10" s="8">
        <f>VLOOKUP(A10,'[1]21_NEWS360AI'!B:D,2,0)</f>
        <v>0</v>
      </c>
      <c r="W10" s="9" t="str">
        <f>VLOOKUP(A10,'[1]27_EFSL'!B:H,6,0)</f>
        <v>100.00</v>
      </c>
      <c r="X10" s="10">
        <f>VLOOKUP(A10,'[1]28_UC3'!B:D,2,0)</f>
        <v>0</v>
      </c>
      <c r="Y10" s="10">
        <f>VLOOKUP(A10,'[1]29_UC4'!B:D,2,0)</f>
        <v>0</v>
      </c>
    </row>
    <row r="11" spans="1:25" s="11" customFormat="1" ht="25.95" customHeight="1">
      <c r="A11" s="12" t="s">
        <v>34</v>
      </c>
      <c r="B11" s="8" t="str">
        <f>VLOOKUP(A11,'[1]1_MEDLEAPR_PME'!B:H,6,0)</f>
        <v>100.00</v>
      </c>
      <c r="C11" s="8" t="str">
        <f>VLOOKUP(A11,'[1]2_MEDLEAPR_MLC'!B:I,6,0)</f>
        <v>100.00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VLOOKUP(A11,'[1]5_CCTNS_TILL'!B:P,14,0)</f>
        <v>94.75</v>
      </c>
      <c r="G11" s="8">
        <f>VLOOKUP(A11,'[1]6_CCTNS_1_7'!B:P,14,0)</f>
        <v>60.9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VLOOKUP(A11,'[1]10_ESAKSHYA'!B:H,6,0)</f>
        <v>100</v>
      </c>
      <c r="L11" s="8">
        <f>VLOOKUP(A11,'[1]11_CRIMAC'!B:F,4,0)</f>
        <v>100</v>
      </c>
      <c r="M11" s="8">
        <f>VLOOKUP(A11,'[1]12_CEIR'!B:L,10,0)</f>
        <v>27.657563025210081</v>
      </c>
      <c r="N11" s="8">
        <f>VLOOKUP(A11,'[1]13_EPROSEC'!B:H,6,0)</f>
        <v>100</v>
      </c>
      <c r="O11" s="8">
        <f>VLOOKUP(A11,'[1]14_FIR_CS_COURT'!B:L,11,0)</f>
        <v>100</v>
      </c>
      <c r="P11" s="8">
        <f>VLOOKUP(A11,'[1]15_EOFFICE'!B:K,9,0)</f>
        <v>100</v>
      </c>
      <c r="Q11" s="8">
        <f>VLOOKUP(A11,'[1]16_APOLIS'!B:K,10,0)</f>
        <v>100</v>
      </c>
      <c r="R11" s="8">
        <f>VLOOKUP(A11,'[1]17_DRONE_FLYING'!B:J,9,0)</f>
        <v>80</v>
      </c>
      <c r="S11" s="8">
        <f>VLOOKUP(A11,'[1]18_112_TABS'!B:H,6,0)</f>
        <v>100</v>
      </c>
      <c r="T11" s="8">
        <f>VLOOKUP(A11,'[1]19_DIAL100_RES'!B:H,6,0)</f>
        <v>51.74</v>
      </c>
      <c r="U11" s="8">
        <f>VLOOKUP(A11,'[1]20_CCTV_360'!B:S,18,0)</f>
        <v>92.857142857142861</v>
      </c>
      <c r="V11" s="8">
        <f>VLOOKUP(A11,'[1]21_NEWS360AI'!B:D,2,0)</f>
        <v>0</v>
      </c>
      <c r="W11" s="9" t="str">
        <f>VLOOKUP(A11,'[1]27_EFSL'!B:H,6,0)</f>
        <v>100.00</v>
      </c>
      <c r="X11" s="10">
        <f>VLOOKUP(A11,'[1]28_UC3'!B:D,2,0)</f>
        <v>0</v>
      </c>
      <c r="Y11" s="10">
        <f>VLOOKUP(A11,'[1]29_UC4'!B:D,2,0)</f>
        <v>0</v>
      </c>
    </row>
    <row r="12" spans="1:25" s="11" customFormat="1" ht="25.95" customHeight="1">
      <c r="A12" s="12" t="s">
        <v>35</v>
      </c>
      <c r="B12" s="8" t="str">
        <f>VLOOKUP(A12,'[1]1_MEDLEAPR_PME'!B:H,6,0)</f>
        <v>100.00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VLOOKUP(A12,'[1]5_CCTNS_TILL'!B:P,14,0)</f>
        <v>100</v>
      </c>
      <c r="G12" s="8">
        <f>VLOOKUP(A12,'[1]6_CCTNS_1_7'!B:P,14,0)</f>
        <v>31.83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VLOOKUP(A12,'[1]10_ESAKSHYA'!B:H,6,0)</f>
        <v>96.677740863787378</v>
      </c>
      <c r="L12" s="8">
        <f>VLOOKUP(A12,'[1]11_CRIMAC'!B:F,4,0)</f>
        <v>100</v>
      </c>
      <c r="M12" s="8">
        <f>VLOOKUP(A12,'[1]12_CEIR'!B:L,10,0)</f>
        <v>49.085714285714282</v>
      </c>
      <c r="N12" s="8">
        <f>VLOOKUP(A12,'[1]13_EPROSEC'!B:H,6,0)</f>
        <v>100</v>
      </c>
      <c r="O12" s="8">
        <f>VLOOKUP(A12,'[1]14_FIR_CS_COURT'!B:L,11,0)</f>
        <v>99.462365591397855</v>
      </c>
      <c r="P12" s="8">
        <f>VLOOKUP(A12,'[1]15_EOFFICE'!B:K,9,0)</f>
        <v>100</v>
      </c>
      <c r="Q12" s="8">
        <f>VLOOKUP(A12,'[1]16_APOLIS'!B:K,10,0)</f>
        <v>100</v>
      </c>
      <c r="R12" s="8">
        <f>VLOOKUP(A12,'[1]17_DRONE_FLYING'!B:J,9,0)</f>
        <v>80</v>
      </c>
      <c r="S12" s="8">
        <f>VLOOKUP(A12,'[1]18_112_TABS'!B:H,6,0)</f>
        <v>100</v>
      </c>
      <c r="T12" s="8">
        <f>VLOOKUP(A12,'[1]19_DIAL100_RES'!B:H,6,0)</f>
        <v>75</v>
      </c>
      <c r="U12" s="8">
        <f>VLOOKUP(A12,'[1]20_CCTV_360'!B:S,18,0)</f>
        <v>92.857142857142861</v>
      </c>
      <c r="V12" s="8">
        <f>VLOOKUP(A12,'[1]21_NEWS360AI'!B:D,2,0)</f>
        <v>0</v>
      </c>
      <c r="W12" s="9" t="str">
        <f>VLOOKUP(A12,'[1]27_EFSL'!B:H,6,0)</f>
        <v>100.00</v>
      </c>
      <c r="X12" s="10">
        <f>VLOOKUP(A12,'[1]28_UC3'!B:D,2,0)</f>
        <v>0</v>
      </c>
      <c r="Y12" s="10">
        <f>VLOOKUP(A12,'[1]29_UC4'!B:D,2,0)</f>
        <v>0</v>
      </c>
    </row>
    <row r="13" spans="1:25" s="11" customFormat="1" ht="25.95" customHeight="1">
      <c r="A13" s="12" t="s">
        <v>36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VLOOKUP(A13,'[1]5_CCTNS_TILL'!B:P,14,0)</f>
        <v>100</v>
      </c>
      <c r="G13" s="8">
        <f>VLOOKUP(A13,'[1]6_CCTNS_1_7'!B:P,14,0)</f>
        <v>100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VLOOKUP(A13,'[1]10_ESAKSHYA'!B:H,6,0)</f>
        <v>39.316239316239319</v>
      </c>
      <c r="L13" s="8">
        <f>VLOOKUP(A13,'[1]11_CRIMAC'!B:F,4,0)</f>
        <v>100</v>
      </c>
      <c r="M13" s="8">
        <f>VLOOKUP(A13,'[1]12_CEIR'!B:L,10,0)</f>
        <v>60.917487684729068</v>
      </c>
      <c r="N13" s="8">
        <f>VLOOKUP(A13,'[1]13_EPROSEC'!B:H,6,0)</f>
        <v>100</v>
      </c>
      <c r="O13" s="8">
        <f>VLOOKUP(A13,'[1]14_FIR_CS_COURT'!B:L,11,0)</f>
        <v>98.717948717948715</v>
      </c>
      <c r="P13" s="8">
        <f>VLOOKUP(A13,'[1]15_EOFFICE'!B:K,9,0)</f>
        <v>100</v>
      </c>
      <c r="Q13" s="8">
        <f>VLOOKUP(A13,'[1]16_APOLIS'!B:K,10,0)</f>
        <v>100</v>
      </c>
      <c r="R13" s="8">
        <f>VLOOKUP(A13,'[1]17_DRONE_FLYING'!B:J,9,0)</f>
        <v>100</v>
      </c>
      <c r="S13" s="8">
        <f>VLOOKUP(A13,'[1]18_112_TABS'!B:H,6,0)</f>
        <v>100</v>
      </c>
      <c r="T13" s="8">
        <f>VLOOKUP(A13,'[1]19_DIAL100_RES'!B:H,6,0)</f>
        <v>90.87</v>
      </c>
      <c r="U13" s="8">
        <f>VLOOKUP(A13,'[1]20_CCTV_360'!B:S,18,0)</f>
        <v>100</v>
      </c>
      <c r="V13" s="8">
        <f>VLOOKUP(A13,'[1]21_NEWS360AI'!B:D,2,0)</f>
        <v>0</v>
      </c>
      <c r="W13" s="9" t="str">
        <f>VLOOKUP(A13,'[1]27_EFSL'!B:H,6,0)</f>
        <v>100.00</v>
      </c>
      <c r="X13" s="10">
        <f>VLOOKUP(A13,'[1]28_UC3'!B:D,2,0)</f>
        <v>0</v>
      </c>
      <c r="Y13" s="10">
        <f>VLOOKUP(A13,'[1]29_UC4'!B:D,2,0)</f>
        <v>0</v>
      </c>
    </row>
    <row r="14" spans="1:25" s="11" customFormat="1" ht="25.95" customHeight="1">
      <c r="A14" s="12" t="s">
        <v>37</v>
      </c>
      <c r="B14" s="8" t="str">
        <f>VLOOKUP(A14,'[1]1_MEDLEAPR_PME'!B:H,6,0)</f>
        <v>100.00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VLOOKUP(A14,'[1]5_CCTNS_TILL'!B:P,14,0)</f>
        <v>99.64</v>
      </c>
      <c r="G14" s="8">
        <f>VLOOKUP(A14,'[1]6_CCTNS_1_7'!B:P,14,0)</f>
        <v>11.94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VLOOKUP(A14,'[1]10_ESAKSHYA'!B:H,6,0)</f>
        <v>100</v>
      </c>
      <c r="L14" s="8">
        <f>VLOOKUP(A14,'[1]11_CRIMAC'!B:F,4,0)</f>
        <v>100</v>
      </c>
      <c r="M14" s="8">
        <f>VLOOKUP(A14,'[1]12_CEIR'!B:L,10,0)</f>
        <v>50.357142857142854</v>
      </c>
      <c r="N14" s="8">
        <f>VLOOKUP(A14,'[1]13_EPROSEC'!B:H,6,0)</f>
        <v>100</v>
      </c>
      <c r="O14" s="8">
        <f>VLOOKUP(A14,'[1]14_FIR_CS_COURT'!B:L,11,0)</f>
        <v>100</v>
      </c>
      <c r="P14" s="8">
        <f>VLOOKUP(A14,'[1]15_EOFFICE'!B:K,9,0)</f>
        <v>100</v>
      </c>
      <c r="Q14" s="8">
        <f>VLOOKUP(A14,'[1]16_APOLIS'!B:K,10,0)</f>
        <v>100</v>
      </c>
      <c r="R14" s="8">
        <f>VLOOKUP(A14,'[1]17_DRONE_FLYING'!B:J,9,0)</f>
        <v>20</v>
      </c>
      <c r="S14" s="8">
        <f>VLOOKUP(A14,'[1]18_112_TABS'!B:H,6,0)</f>
        <v>100</v>
      </c>
      <c r="T14" s="8">
        <f>VLOOKUP(A14,'[1]19_DIAL100_RES'!B:H,6,0)</f>
        <v>100</v>
      </c>
      <c r="U14" s="8">
        <f>VLOOKUP(A14,'[1]20_CCTV_360'!B:S,18,0)</f>
        <v>85.714285714285708</v>
      </c>
      <c r="V14" s="8">
        <f>VLOOKUP(A14,'[1]21_NEWS360AI'!B:D,2,0)</f>
        <v>0</v>
      </c>
      <c r="W14" s="9" t="str">
        <f>VLOOKUP(A14,'[1]27_EFSL'!B:H,6,0)</f>
        <v>100.00</v>
      </c>
      <c r="X14" s="10">
        <f>VLOOKUP(A14,'[1]28_UC3'!B:D,2,0)</f>
        <v>0</v>
      </c>
      <c r="Y14" s="10">
        <f>VLOOKUP(A14,'[1]29_UC4'!B:D,2,0)</f>
        <v>0</v>
      </c>
    </row>
    <row r="15" spans="1:25" s="11" customFormat="1" ht="25.95" customHeight="1">
      <c r="A15" s="12" t="s">
        <v>38</v>
      </c>
      <c r="B15" s="8" t="str">
        <f>VLOOKUP(A15,'[1]1_MEDLEAPR_PME'!B:H,6,0)</f>
        <v>100.00</v>
      </c>
      <c r="C15" s="8" t="str">
        <f>VLOOKUP(A15,'[1]2_MEDLEAPR_MLC'!B:I,6,0)</f>
        <v>100.00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VLOOKUP(A15,'[1]5_CCTNS_TILL'!B:P,14,0)</f>
        <v>98.87</v>
      </c>
      <c r="G15" s="8">
        <f>VLOOKUP(A15,'[1]6_CCTNS_1_7'!B:P,14,0)</f>
        <v>55.7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VLOOKUP(A15,'[1]10_ESAKSHYA'!B:H,6,0)</f>
        <v>100</v>
      </c>
      <c r="L15" s="8">
        <f>VLOOKUP(A15,'[1]11_CRIMAC'!B:F,4,0)</f>
        <v>100</v>
      </c>
      <c r="M15" s="8">
        <f>VLOOKUP(A15,'[1]12_CEIR'!B:L,10,0)</f>
        <v>32.272167487684733</v>
      </c>
      <c r="N15" s="8">
        <f>VLOOKUP(A15,'[1]13_EPROSEC'!B:H,6,0)</f>
        <v>100</v>
      </c>
      <c r="O15" s="8">
        <f>VLOOKUP(A15,'[1]14_FIR_CS_COURT'!B:L,11,0)</f>
        <v>99.526066350710892</v>
      </c>
      <c r="P15" s="8">
        <f>VLOOKUP(A15,'[1]15_EOFFICE'!B:K,9,0)</f>
        <v>100</v>
      </c>
      <c r="Q15" s="8">
        <f>VLOOKUP(A15,'[1]16_APOLIS'!B:K,10,0)</f>
        <v>100</v>
      </c>
      <c r="R15" s="8">
        <f>VLOOKUP(A15,'[1]17_DRONE_FLYING'!B:J,9,0)</f>
        <v>56</v>
      </c>
      <c r="S15" s="8">
        <f>VLOOKUP(A15,'[1]18_112_TABS'!B:H,6,0)</f>
        <v>100</v>
      </c>
      <c r="T15" s="8">
        <f>VLOOKUP(A15,'[1]19_DIAL100_RES'!B:H,6,0)</f>
        <v>86.52</v>
      </c>
      <c r="U15" s="8">
        <f>VLOOKUP(A15,'[1]20_CCTV_360'!B:S,18,0)</f>
        <v>100</v>
      </c>
      <c r="V15" s="8">
        <f>VLOOKUP(A15,'[1]21_NEWS360AI'!B:D,2,0)</f>
        <v>0</v>
      </c>
      <c r="W15" s="9" t="str">
        <f>VLOOKUP(A15,'[1]27_EFSL'!B:H,6,0)</f>
        <v>100.00</v>
      </c>
      <c r="X15" s="10">
        <f>VLOOKUP(A15,'[1]28_UC3'!B:D,2,0)</f>
        <v>0</v>
      </c>
      <c r="Y15" s="10">
        <f>VLOOKUP(A15,'[1]29_UC4'!B:D,2,0)</f>
        <v>0</v>
      </c>
    </row>
    <row r="16" spans="1:25" s="11" customFormat="1" ht="25.95" customHeight="1">
      <c r="A16" s="12" t="s">
        <v>39</v>
      </c>
      <c r="B16" s="8" t="str">
        <f>VLOOKUP(A16,'[1]1_MEDLEAPR_PME'!B:H,6,0)</f>
        <v>100.00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VLOOKUP(A16,'[1]5_CCTNS_TILL'!B:P,14,0)</f>
        <v>99.02</v>
      </c>
      <c r="G16" s="8">
        <f>VLOOKUP(A16,'[1]6_CCTNS_1_7'!B:P,14,0)</f>
        <v>47.75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VLOOKUP(A16,'[1]10_ESAKSHYA'!B:H,6,0)</f>
        <v>100</v>
      </c>
      <c r="L16" s="8">
        <f>VLOOKUP(A16,'[1]11_CRIMAC'!B:F,4,0)</f>
        <v>100</v>
      </c>
      <c r="M16" s="8">
        <f>VLOOKUP(A16,'[1]12_CEIR'!B:L,10,0)</f>
        <v>22.232142857142858</v>
      </c>
      <c r="N16" s="8">
        <f>VLOOKUP(A16,'[1]13_EPROSEC'!B:H,6,0)</f>
        <v>100</v>
      </c>
      <c r="O16" s="8">
        <f>VLOOKUP(A16,'[1]14_FIR_CS_COURT'!B:L,11,0)</f>
        <v>99.681528662420391</v>
      </c>
      <c r="P16" s="8">
        <f>VLOOKUP(A16,'[1]15_EOFFICE'!B:K,9,0)</f>
        <v>100</v>
      </c>
      <c r="Q16" s="8">
        <f>VLOOKUP(A16,'[1]16_APOLIS'!B:K,10,0)</f>
        <v>100</v>
      </c>
      <c r="R16" s="8">
        <f>VLOOKUP(A16,'[1]17_DRONE_FLYING'!B:J,9,0)</f>
        <v>61</v>
      </c>
      <c r="S16" s="8">
        <f>VLOOKUP(A16,'[1]18_112_TABS'!B:H,6,0)</f>
        <v>100</v>
      </c>
      <c r="T16" s="8">
        <f>VLOOKUP(A16,'[1]19_DIAL100_RES'!B:H,6,0)</f>
        <v>31.96</v>
      </c>
      <c r="U16" s="8">
        <f>VLOOKUP(A16,'[1]20_CCTV_360'!B:S,18,0)</f>
        <v>92.857142857142861</v>
      </c>
      <c r="V16" s="8">
        <f>VLOOKUP(A16,'[1]21_NEWS360AI'!B:D,2,0)</f>
        <v>0</v>
      </c>
      <c r="W16" s="9" t="str">
        <f>VLOOKUP(A16,'[1]27_EFSL'!B:H,6,0)</f>
        <v>100.00</v>
      </c>
      <c r="X16" s="10">
        <f>VLOOKUP(A16,'[1]28_UC3'!B:D,2,0)</f>
        <v>0</v>
      </c>
      <c r="Y16" s="10">
        <f>VLOOKUP(A16,'[1]29_UC4'!B:D,2,0)</f>
        <v>0</v>
      </c>
    </row>
    <row r="17" spans="1:25" s="11" customFormat="1" ht="25.95" customHeight="1">
      <c r="A17" s="12" t="s">
        <v>40</v>
      </c>
      <c r="B17" s="8" t="str">
        <f>VLOOKUP(A17,'[1]1_MEDLEAPR_PME'!B:H,6,0)</f>
        <v>100.00</v>
      </c>
      <c r="C17" s="8" t="str">
        <f>VLOOKUP(A17,'[1]2_MEDLEAPR_MLC'!B:I,6,0)</f>
        <v>100.00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VLOOKUP(A17,'[1]5_CCTNS_TILL'!B:P,14,0)</f>
        <v>100</v>
      </c>
      <c r="G17" s="8">
        <f>VLOOKUP(A17,'[1]6_CCTNS_1_7'!B:P,14,0)</f>
        <v>96.71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VLOOKUP(A17,'[1]10_ESAKSHYA'!B:H,6,0)</f>
        <v>92.307692307692307</v>
      </c>
      <c r="L17" s="8">
        <f>VLOOKUP(A17,'[1]11_CRIMAC'!B:F,4,0)</f>
        <v>100</v>
      </c>
      <c r="M17" s="8">
        <f>VLOOKUP(A17,'[1]12_CEIR'!B:L,10,0)</f>
        <v>41.428571428571423</v>
      </c>
      <c r="N17" s="8">
        <f>VLOOKUP(A17,'[1]13_EPROSEC'!B:H,6,0)</f>
        <v>100</v>
      </c>
      <c r="O17" s="8">
        <f>VLOOKUP(A17,'[1]14_FIR_CS_COURT'!B:L,11,0)</f>
        <v>100</v>
      </c>
      <c r="P17" s="8">
        <f>VLOOKUP(A17,'[1]15_EOFFICE'!B:K,9,0)</f>
        <v>100</v>
      </c>
      <c r="Q17" s="8">
        <f>VLOOKUP(A17,'[1]16_APOLIS'!B:K,10,0)</f>
        <v>100</v>
      </c>
      <c r="R17" s="8">
        <f>VLOOKUP(A17,'[1]17_DRONE_FLYING'!B:J,9,0)</f>
        <v>80</v>
      </c>
      <c r="S17" s="8">
        <f>VLOOKUP(A17,'[1]18_112_TABS'!B:H,6,0)</f>
        <v>100</v>
      </c>
      <c r="T17" s="8">
        <f>VLOOKUP(A17,'[1]19_DIAL100_RES'!B:H,6,0)</f>
        <v>70.650000000000006</v>
      </c>
      <c r="U17" s="8">
        <f>VLOOKUP(A17,'[1]20_CCTV_360'!B:S,18,0)</f>
        <v>100</v>
      </c>
      <c r="V17" s="8">
        <f>VLOOKUP(A17,'[1]21_NEWS360AI'!B:D,2,0)</f>
        <v>0</v>
      </c>
      <c r="W17" s="9" t="str">
        <f>VLOOKUP(A17,'[1]27_EFSL'!B:H,6,0)</f>
        <v>100.00</v>
      </c>
      <c r="X17" s="10">
        <f>VLOOKUP(A17,'[1]28_UC3'!B:D,2,0)</f>
        <v>0</v>
      </c>
      <c r="Y17" s="10">
        <f>VLOOKUP(A17,'[1]29_UC4'!B:D,2,0)</f>
        <v>0</v>
      </c>
    </row>
    <row r="18" spans="1:25" s="11" customFormat="1" ht="25.95" customHeight="1">
      <c r="A18" s="12" t="s">
        <v>41</v>
      </c>
      <c r="B18" s="8" t="str">
        <f>VLOOKUP(A18,'[1]1_MEDLEAPR_PME'!B:H,6,0)</f>
        <v>100.00</v>
      </c>
      <c r="C18" s="8">
        <f>VLOOKUP(A18,'[1]2_MEDLEAPR_MLC'!B:I,6,0)</f>
        <v>100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VLOOKUP(A18,'[1]5_CCTNS_TILL'!B:P,14,0)</f>
        <v>86.26</v>
      </c>
      <c r="G18" s="8">
        <f>VLOOKUP(A18,'[1]6_CCTNS_1_7'!B:P,14,0)</f>
        <v>46.15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VLOOKUP(A18,'[1]10_ESAKSHYA'!B:H,6,0)</f>
        <v>86.221009549795355</v>
      </c>
      <c r="L18" s="8">
        <f>VLOOKUP(A18,'[1]11_CRIMAC'!B:F,4,0)</f>
        <v>100</v>
      </c>
      <c r="M18" s="8">
        <f>VLOOKUP(A18,'[1]12_CEIR'!B:L,10,0)</f>
        <v>45.58089500860585</v>
      </c>
      <c r="N18" s="8">
        <f>VLOOKUP(A18,'[1]13_EPROSEC'!B:H,6,0)</f>
        <v>100</v>
      </c>
      <c r="O18" s="8">
        <f>VLOOKUP(A18,'[1]14_FIR_CS_COURT'!B:L,11,0)</f>
        <v>92.600433339296714</v>
      </c>
      <c r="P18" s="8">
        <f>VLOOKUP(A18,'[1]15_EOFFICE'!B:K,9,0)</f>
        <v>64.284999999999997</v>
      </c>
      <c r="Q18" s="8">
        <f>VLOOKUP(A18,'[1]16_APOLIS'!B:K,10,0)</f>
        <v>100</v>
      </c>
      <c r="R18" s="8">
        <f>VLOOKUP(A18,'[1]17_DRONE_FLYING'!B:J,9,0)</f>
        <v>68</v>
      </c>
      <c r="S18" s="8">
        <f>VLOOKUP(A18,'[1]18_112_TABS'!B:H,6,0)</f>
        <v>100</v>
      </c>
      <c r="T18" s="8">
        <f>VLOOKUP(A18,'[1]19_DIAL100_RES'!B:H,6,0)</f>
        <v>54.57</v>
      </c>
      <c r="U18" s="8">
        <f>VLOOKUP(A18,'[1]20_CCTV_360'!B:S,18,0)</f>
        <v>100</v>
      </c>
      <c r="V18" s="8">
        <f>VLOOKUP(A18,'[1]21_NEWS360AI'!B:D,2,0)</f>
        <v>0</v>
      </c>
      <c r="W18" s="9" t="str">
        <f>VLOOKUP(A18,'[1]27_EFSL'!B:H,6,0)</f>
        <v>100.00</v>
      </c>
      <c r="X18" s="10">
        <f>VLOOKUP(A18,'[1]28_UC3'!B:D,2,0)</f>
        <v>0</v>
      </c>
      <c r="Y18" s="10">
        <f>VLOOKUP(A18,'[1]29_UC4'!B:D,2,0)</f>
        <v>0</v>
      </c>
    </row>
    <row r="19" spans="1:25" s="11" customFormat="1" ht="25.95" customHeight="1">
      <c r="A19" s="12" t="s">
        <v>42</v>
      </c>
      <c r="B19" s="8" t="str">
        <f>VLOOKUP(A19,'[1]1_MEDLEAPR_PME'!B:H,6,0)</f>
        <v>100.00</v>
      </c>
      <c r="C19" s="8" t="str">
        <f>VLOOKUP(A19,'[1]2_MEDLEAPR_MLC'!B:I,6,0)</f>
        <v>100.00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VLOOKUP(A19,'[1]5_CCTNS_TILL'!B:P,14,0)</f>
        <v>100</v>
      </c>
      <c r="G19" s="8">
        <f>VLOOKUP(A19,'[1]6_CCTNS_1_7'!B:P,14,0)</f>
        <v>63.66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VLOOKUP(A19,'[1]10_ESAKSHYA'!B:H,6,0)</f>
        <v>100</v>
      </c>
      <c r="L19" s="8">
        <f>VLOOKUP(A19,'[1]11_CRIMAC'!B:F,4,0)</f>
        <v>100</v>
      </c>
      <c r="M19" s="8">
        <f>VLOOKUP(A19,'[1]12_CEIR'!B:L,10,0)</f>
        <v>50</v>
      </c>
      <c r="N19" s="8">
        <f>VLOOKUP(A19,'[1]13_EPROSEC'!B:H,6,0)</f>
        <v>100</v>
      </c>
      <c r="O19" s="8">
        <f>VLOOKUP(A19,'[1]14_FIR_CS_COURT'!B:L,11,0)</f>
        <v>97.520410766679419</v>
      </c>
      <c r="P19" s="8">
        <f>VLOOKUP(A19,'[1]15_EOFFICE'!B:K,9,0)</f>
        <v>100</v>
      </c>
      <c r="Q19" s="8">
        <f>VLOOKUP(A19,'[1]16_APOLIS'!B:K,10,0)</f>
        <v>100</v>
      </c>
      <c r="R19" s="8">
        <f>VLOOKUP(A19,'[1]17_DRONE_FLYING'!B:J,9,0)</f>
        <v>20</v>
      </c>
      <c r="S19" s="8">
        <f>VLOOKUP(A19,'[1]18_112_TABS'!B:H,6,0)</f>
        <v>100</v>
      </c>
      <c r="T19" s="8">
        <f>VLOOKUP(A19,'[1]19_DIAL100_RES'!B:H,6,0)</f>
        <v>50</v>
      </c>
      <c r="U19" s="8">
        <f>VLOOKUP(A19,'[1]20_CCTV_360'!B:S,18,0)</f>
        <v>92.857142857142861</v>
      </c>
      <c r="V19" s="8">
        <f>VLOOKUP(A19,'[1]21_NEWS360AI'!B:D,2,0)</f>
        <v>0</v>
      </c>
      <c r="W19" s="9" t="str">
        <f>VLOOKUP(A19,'[1]27_EFSL'!B:H,6,0)</f>
        <v>100.00</v>
      </c>
      <c r="X19" s="10">
        <f>VLOOKUP(A19,'[1]28_UC3'!B:D,2,0)</f>
        <v>0</v>
      </c>
      <c r="Y19" s="10">
        <f>VLOOKUP(A19,'[1]29_UC4'!B:D,2,0)</f>
        <v>0</v>
      </c>
    </row>
    <row r="20" spans="1:25" s="11" customFormat="1" ht="25.95" customHeight="1">
      <c r="A20" s="12" t="s">
        <v>43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VLOOKUP(A20,'[1]5_CCTNS_TILL'!B:P,14,0)</f>
        <v>100</v>
      </c>
      <c r="G20" s="8">
        <f>VLOOKUP(A20,'[1]6_CCTNS_1_7'!B:P,14,0)</f>
        <v>84.537499999999994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VLOOKUP(A20,'[1]10_ESAKSHYA'!B:H,6,0)</f>
        <v>100</v>
      </c>
      <c r="L20" s="8">
        <f>VLOOKUP(A20,'[1]11_CRIMAC'!B:F,4,0)</f>
        <v>100</v>
      </c>
      <c r="M20" s="8">
        <f>VLOOKUP(A20,'[1]12_CEIR'!B:L,10,0)</f>
        <v>33.928571428571431</v>
      </c>
      <c r="N20" s="8">
        <f>VLOOKUP(A20,'[1]13_EPROSEC'!B:H,6,0)</f>
        <v>100</v>
      </c>
      <c r="O20" s="8">
        <f>VLOOKUP(A20,'[1]14_FIR_CS_COURT'!B:L,11,0)</f>
        <v>100</v>
      </c>
      <c r="P20" s="8">
        <f>VLOOKUP(A20,'[1]15_EOFFICE'!B:K,9,0)</f>
        <v>100</v>
      </c>
      <c r="Q20" s="8">
        <f>VLOOKUP(A20,'[1]16_APOLIS'!B:K,10,0)</f>
        <v>100</v>
      </c>
      <c r="R20" s="8">
        <f>VLOOKUP(A20,'[1]17_DRONE_FLYING'!B:J,9,0)</f>
        <v>100</v>
      </c>
      <c r="S20" s="8">
        <f>VLOOKUP(A20,'[1]18_112_TABS'!B:H,6,0)</f>
        <v>100</v>
      </c>
      <c r="T20" s="8">
        <f>VLOOKUP(A20,'[1]19_DIAL100_RES'!B:H,6,0)</f>
        <v>59.78</v>
      </c>
      <c r="U20" s="8">
        <f>VLOOKUP(A20,'[1]20_CCTV_360'!B:S,18,0)</f>
        <v>100</v>
      </c>
      <c r="V20" s="8">
        <f>VLOOKUP(A20,'[1]21_NEWS360AI'!B:D,2,0)</f>
        <v>0</v>
      </c>
      <c r="W20" s="9" t="str">
        <f>VLOOKUP(A20,'[1]27_EFSL'!B:H,6,0)</f>
        <v>100.00</v>
      </c>
      <c r="X20" s="10">
        <f>VLOOKUP(A20,'[1]28_UC3'!B:D,2,0)</f>
        <v>0</v>
      </c>
      <c r="Y20" s="10">
        <f>VLOOKUP(A20,'[1]29_UC4'!B:D,2,0)</f>
        <v>0</v>
      </c>
    </row>
    <row r="21" spans="1:25" s="11" customFormat="1" ht="25.95" customHeight="1">
      <c r="A21" s="12" t="s">
        <v>44</v>
      </c>
      <c r="B21" s="8" t="str">
        <f>VLOOKUP(A21,'[1]1_MEDLEAPR_PME'!B:H,6,0)</f>
        <v>100.00</v>
      </c>
      <c r="C21" s="8" t="str">
        <f>VLOOKUP(A21,'[1]2_MEDLEAPR_MLC'!B:I,6,0)</f>
        <v>100.00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VLOOKUP(A21,'[1]5_CCTNS_TILL'!B:P,14,0)</f>
        <v>93.83</v>
      </c>
      <c r="G21" s="8">
        <f>VLOOKUP(A21,'[1]6_CCTNS_1_7'!B:P,14,0)</f>
        <v>79.58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VLOOKUP(A21,'[1]10_ESAKSHYA'!B:H,6,0)</f>
        <v>98.290598290598297</v>
      </c>
      <c r="L21" s="8">
        <f>VLOOKUP(A21,'[1]11_CRIMAC'!B:F,4,0)</f>
        <v>100</v>
      </c>
      <c r="M21" s="8">
        <f>VLOOKUP(A21,'[1]12_CEIR'!B:L,10,0)</f>
        <v>64.702380952380949</v>
      </c>
      <c r="N21" s="8">
        <f>VLOOKUP(A21,'[1]13_EPROSEC'!B:H,6,0)</f>
        <v>0</v>
      </c>
      <c r="O21" s="8">
        <f>VLOOKUP(A21,'[1]14_FIR_CS_COURT'!B:L,11,0)</f>
        <v>99.324324324324323</v>
      </c>
      <c r="P21" s="8">
        <f>VLOOKUP(A21,'[1]15_EOFFICE'!B:K,9,0)</f>
        <v>100</v>
      </c>
      <c r="Q21" s="8">
        <f>VLOOKUP(A21,'[1]16_APOLIS'!B:K,10,0)</f>
        <v>100</v>
      </c>
      <c r="R21" s="8">
        <f>VLOOKUP(A21,'[1]17_DRONE_FLYING'!B:J,9,0)</f>
        <v>80</v>
      </c>
      <c r="S21" s="8">
        <f>VLOOKUP(A21,'[1]18_112_TABS'!B:H,6,0)</f>
        <v>100</v>
      </c>
      <c r="T21" s="8">
        <f>VLOOKUP(A21,'[1]19_DIAL100_RES'!B:H,6,0)</f>
        <v>33.26</v>
      </c>
      <c r="U21" s="8">
        <f>VLOOKUP(A21,'[1]20_CCTV_360'!B:S,18,0)</f>
        <v>100</v>
      </c>
      <c r="V21" s="8">
        <f>VLOOKUP(A21,'[1]21_NEWS360AI'!B:D,2,0)</f>
        <v>0</v>
      </c>
      <c r="W21" s="9" t="str">
        <f>VLOOKUP(A21,'[1]27_EFSL'!B:H,6,0)</f>
        <v>100.00</v>
      </c>
      <c r="X21" s="10">
        <f>VLOOKUP(A21,'[1]28_UC3'!B:D,2,0)</f>
        <v>0</v>
      </c>
      <c r="Y21" s="10">
        <f>VLOOKUP(A21,'[1]29_UC4'!B:D,2,0)</f>
        <v>0</v>
      </c>
    </row>
    <row r="22" spans="1:25" s="11" customFormat="1" ht="25.95" customHeight="1">
      <c r="A22" s="12" t="s">
        <v>45</v>
      </c>
      <c r="B22" s="8" t="str">
        <f>VLOOKUP(A22,'[1]1_MEDLEAPR_PME'!B:H,6,0)</f>
        <v>100.00</v>
      </c>
      <c r="C22" s="8">
        <f>VLOOKUP(A22,'[1]2_MEDLEAPR_MLC'!B:I,6,0)</f>
        <v>100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VLOOKUP(A22,'[1]5_CCTNS_TILL'!B:P,14,0)</f>
        <v>100</v>
      </c>
      <c r="G22" s="8">
        <f>VLOOKUP(A22,'[1]6_CCTNS_1_7'!B:P,14,0)</f>
        <v>87.5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VLOOKUP(A22,'[1]10_ESAKSHYA'!B:H,6,0)</f>
        <v>100</v>
      </c>
      <c r="L22" s="8">
        <f>VLOOKUP(A22,'[1]11_CRIMAC'!B:F,4,0)</f>
        <v>100</v>
      </c>
      <c r="M22" s="8">
        <f>VLOOKUP(A22,'[1]12_CEIR'!B:L,10,0)</f>
        <v>32.132352941176464</v>
      </c>
      <c r="N22" s="8">
        <f>VLOOKUP(A22,'[1]13_EPROSEC'!B:H,6,0)</f>
        <v>100</v>
      </c>
      <c r="O22" s="8">
        <f>VLOOKUP(A22,'[1]14_FIR_CS_COURT'!B:L,11,0)</f>
        <v>100</v>
      </c>
      <c r="P22" s="8">
        <f>VLOOKUP(A22,'[1]15_EOFFICE'!B:K,9,0)</f>
        <v>100</v>
      </c>
      <c r="Q22" s="8">
        <f>VLOOKUP(A22,'[1]16_APOLIS'!B:K,10,0)</f>
        <v>100</v>
      </c>
      <c r="R22" s="8">
        <f>VLOOKUP(A22,'[1]17_DRONE_FLYING'!B:J,9,0)</f>
        <v>68</v>
      </c>
      <c r="S22" s="8">
        <f>VLOOKUP(A22,'[1]18_112_TABS'!B:H,6,0)</f>
        <v>100</v>
      </c>
      <c r="T22" s="8">
        <f>VLOOKUP(A22,'[1]19_DIAL100_RES'!B:H,6,0)</f>
        <v>64.13</v>
      </c>
      <c r="U22" s="8">
        <f>VLOOKUP(A22,'[1]20_CCTV_360'!B:S,18,0)</f>
        <v>100</v>
      </c>
      <c r="V22" s="8">
        <f>VLOOKUP(A22,'[1]21_NEWS360AI'!B:D,2,0)</f>
        <v>0</v>
      </c>
      <c r="W22" s="9" t="str">
        <f>VLOOKUP(A22,'[1]27_EFSL'!B:H,6,0)</f>
        <v>100.00</v>
      </c>
      <c r="X22" s="10">
        <f>VLOOKUP(A22,'[1]28_UC3'!B:D,2,0)</f>
        <v>0</v>
      </c>
      <c r="Y22" s="10">
        <f>VLOOKUP(A22,'[1]29_UC4'!B:D,2,0)</f>
        <v>0</v>
      </c>
    </row>
    <row r="23" spans="1:25" s="11" customFormat="1" ht="25.95" customHeight="1">
      <c r="A23" s="12" t="s">
        <v>46</v>
      </c>
      <c r="B23" s="8">
        <f>VLOOKUP(A23,'[1]1_MEDLEAPR_PME'!B:H,6,0)</f>
        <v>100</v>
      </c>
      <c r="C23" s="8" t="str">
        <f>VLOOKUP(A23,'[1]2_MEDLEAPR_MLC'!B:I,6,0)</f>
        <v>100.00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VLOOKUP(A23,'[1]5_CCTNS_TILL'!B:P,14,0)</f>
        <v>100</v>
      </c>
      <c r="G23" s="8">
        <f>VLOOKUP(A23,'[1]6_CCTNS_1_7'!B:P,14,0)</f>
        <v>86.9375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VLOOKUP(A23,'[1]10_ESAKSHYA'!B:H,6,0)</f>
        <v>100</v>
      </c>
      <c r="L23" s="8">
        <f>VLOOKUP(A23,'[1]11_CRIMAC'!B:F,4,0)</f>
        <v>100</v>
      </c>
      <c r="M23" s="8">
        <f>VLOOKUP(A23,'[1]12_CEIR'!B:L,10,0)</f>
        <v>39.071428571428569</v>
      </c>
      <c r="N23" s="8">
        <f>VLOOKUP(A23,'[1]13_EPROSEC'!B:H,6,0)</f>
        <v>100</v>
      </c>
      <c r="O23" s="8">
        <f>VLOOKUP(A23,'[1]14_FIR_CS_COURT'!B:L,11,0)</f>
        <v>99.874371859296474</v>
      </c>
      <c r="P23" s="8">
        <f>VLOOKUP(A23,'[1]15_EOFFICE'!B:K,9,0)</f>
        <v>100</v>
      </c>
      <c r="Q23" s="8">
        <f>VLOOKUP(A23,'[1]16_APOLIS'!B:K,10,0)</f>
        <v>100</v>
      </c>
      <c r="R23" s="8">
        <f>VLOOKUP(A23,'[1]17_DRONE_FLYING'!B:J,9,0)</f>
        <v>80</v>
      </c>
      <c r="S23" s="8">
        <f>VLOOKUP(A23,'[1]18_112_TABS'!B:H,6,0)</f>
        <v>100</v>
      </c>
      <c r="T23" s="8">
        <f>VLOOKUP(A23,'[1]19_DIAL100_RES'!B:H,6,0)</f>
        <v>43.91</v>
      </c>
      <c r="U23" s="8">
        <f>VLOOKUP(A23,'[1]20_CCTV_360'!B:S,18,0)</f>
        <v>100</v>
      </c>
      <c r="V23" s="8">
        <f>VLOOKUP(A23,'[1]21_NEWS360AI'!B:D,2,0)</f>
        <v>0</v>
      </c>
      <c r="W23" s="9" t="str">
        <f>VLOOKUP(A23,'[1]27_EFSL'!B:H,6,0)</f>
        <v>100.00</v>
      </c>
      <c r="X23" s="10">
        <f>VLOOKUP(A23,'[1]28_UC3'!B:D,2,0)</f>
        <v>0</v>
      </c>
      <c r="Y23" s="10">
        <f>VLOOKUP(A23,'[1]29_UC4'!B:D,2,0)</f>
        <v>0</v>
      </c>
    </row>
    <row r="24" spans="1:25" s="11" customFormat="1" ht="25.95" customHeight="1">
      <c r="A24" s="12" t="s">
        <v>47</v>
      </c>
      <c r="B24" s="8" t="str">
        <f>VLOOKUP(A24,'[1]1_MEDLEAPR_PME'!B:H,6,0)</f>
        <v>100.00</v>
      </c>
      <c r="C24" s="8" t="str">
        <f>VLOOKUP(A24,'[1]2_MEDLEAPR_MLC'!B:I,6,0)</f>
        <v>100.00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VLOOKUP(A24,'[1]5_CCTNS_TILL'!B:P,14,0)</f>
        <v>96.62</v>
      </c>
      <c r="G24" s="8">
        <f>VLOOKUP(A24,'[1]6_CCTNS_1_7'!B:P,14,0)</f>
        <v>94.57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VLOOKUP(A24,'[1]10_ESAKSHYA'!B:H,6,0)</f>
        <v>100</v>
      </c>
      <c r="L24" s="8">
        <f>VLOOKUP(A24,'[1]11_CRIMAC'!B:F,4,0)</f>
        <v>100</v>
      </c>
      <c r="M24" s="8">
        <f>VLOOKUP(A24,'[1]12_CEIR'!B:L,10,0)</f>
        <v>43.076923076923073</v>
      </c>
      <c r="N24" s="8">
        <f>VLOOKUP(A24,'[1]13_EPROSEC'!B:H,6,0)</f>
        <v>100</v>
      </c>
      <c r="O24" s="8">
        <f>VLOOKUP(A24,'[1]14_FIR_CS_COURT'!B:L,11,0)</f>
        <v>100</v>
      </c>
      <c r="P24" s="8">
        <f>VLOOKUP(A24,'[1]15_EOFFICE'!B:K,9,0)</f>
        <v>0</v>
      </c>
      <c r="Q24" s="8">
        <f>VLOOKUP(A24,'[1]16_APOLIS'!B:K,10,0)</f>
        <v>100</v>
      </c>
      <c r="R24" s="8">
        <f>VLOOKUP(A24,'[1]17_DRONE_FLYING'!B:J,9,0)</f>
        <v>80</v>
      </c>
      <c r="S24" s="8">
        <f>VLOOKUP(A24,'[1]18_112_TABS'!B:H,6,0)</f>
        <v>66.666666666666657</v>
      </c>
      <c r="T24" s="8">
        <f>VLOOKUP(A24,'[1]19_DIAL100_RES'!B:H,6,0)</f>
        <v>3.26</v>
      </c>
      <c r="U24" s="8">
        <f>VLOOKUP(A24,'[1]20_CCTV_360'!B:S,18,0)</f>
        <v>100</v>
      </c>
      <c r="V24" s="8">
        <f>VLOOKUP(A24,'[1]21_NEWS360AI'!B:D,2,0)</f>
        <v>0</v>
      </c>
      <c r="W24" s="9" t="str">
        <f>VLOOKUP(A24,'[1]27_EFSL'!B:H,6,0)</f>
        <v>100.00</v>
      </c>
      <c r="X24" s="10">
        <f>VLOOKUP(A24,'[1]28_UC3'!B:D,2,0)</f>
        <v>0</v>
      </c>
      <c r="Y24" s="10">
        <f>VLOOKUP(A24,'[1]29_UC4'!B:D,2,0)</f>
        <v>0</v>
      </c>
    </row>
    <row r="25" spans="1:25" s="11" customFormat="1" ht="25.95" customHeight="1">
      <c r="A25" s="12" t="s">
        <v>48</v>
      </c>
      <c r="B25" s="8">
        <f>VLOOKUP(A25,'[1]1_MEDLEAPR_PME'!B:H,6,0)</f>
        <v>100</v>
      </c>
      <c r="C25" s="8" t="str">
        <f>VLOOKUP(A25,'[1]2_MEDLEAPR_MLC'!B:I,6,0)</f>
        <v>100.00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VLOOKUP(A25,'[1]5_CCTNS_TILL'!B:P,14,0)</f>
        <v>95.54</v>
      </c>
      <c r="G25" s="8">
        <f>VLOOKUP(A25,'[1]6_CCTNS_1_7'!B:P,14,0)</f>
        <v>87.5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VLOOKUP(A25,'[1]10_ESAKSHYA'!B:H,6,0)</f>
        <v>100</v>
      </c>
      <c r="L25" s="8">
        <f>VLOOKUP(A25,'[1]11_CRIMAC'!B:F,4,0)</f>
        <v>100</v>
      </c>
      <c r="M25" s="8">
        <f>VLOOKUP(A25,'[1]12_CEIR'!B:L,10,0)</f>
        <v>27.058625336927221</v>
      </c>
      <c r="N25" s="8">
        <f>VLOOKUP(A25,'[1]13_EPROSEC'!B:H,6,0)</f>
        <v>100</v>
      </c>
      <c r="O25" s="8">
        <f>VLOOKUP(A25,'[1]14_FIR_CS_COURT'!B:L,11,0)</f>
        <v>85.308056872037923</v>
      </c>
      <c r="P25" s="8">
        <f>VLOOKUP(A25,'[1]15_EOFFICE'!B:K,9,0)</f>
        <v>100</v>
      </c>
      <c r="Q25" s="8">
        <f>VLOOKUP(A25,'[1]16_APOLIS'!B:K,10,0)</f>
        <v>100</v>
      </c>
      <c r="R25" s="8">
        <f>VLOOKUP(A25,'[1]17_DRONE_FLYING'!B:J,9,0)</f>
        <v>100</v>
      </c>
      <c r="S25" s="8">
        <f>VLOOKUP(A25,'[1]18_112_TABS'!B:H,6,0)</f>
        <v>100</v>
      </c>
      <c r="T25" s="8">
        <f>VLOOKUP(A25,'[1]19_DIAL100_RES'!B:H,6,0)</f>
        <v>0</v>
      </c>
      <c r="U25" s="8">
        <f>VLOOKUP(A25,'[1]20_CCTV_360'!B:S,18,0)</f>
        <v>100</v>
      </c>
      <c r="V25" s="8">
        <f>VLOOKUP(A25,'[1]21_NEWS360AI'!B:D,2,0)</f>
        <v>0</v>
      </c>
      <c r="W25" s="9" t="str">
        <f>VLOOKUP(A25,'[1]27_EFSL'!B:H,6,0)</f>
        <v>100.00</v>
      </c>
      <c r="X25" s="10">
        <f>VLOOKUP(A25,'[1]28_UC3'!B:D,2,0)</f>
        <v>0</v>
      </c>
      <c r="Y25" s="10">
        <f>VLOOKUP(A25,'[1]29_UC4'!B:D,2,0)</f>
        <v>0</v>
      </c>
    </row>
    <row r="26" spans="1:25" s="11" customFormat="1" ht="25.95" customHeight="1">
      <c r="A26" s="12" t="s">
        <v>49</v>
      </c>
      <c r="B26" s="8" t="str">
        <f>VLOOKUP(A26,'[1]1_MEDLEAPR_PME'!B:H,6,0)</f>
        <v>100.00</v>
      </c>
      <c r="C26" s="8">
        <f>VLOOKUP(A26,'[1]2_MEDLEAPR_MLC'!B:I,6,0)</f>
        <v>100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VLOOKUP(A26,'[1]5_CCTNS_TILL'!B:P,14,0)</f>
        <v>100</v>
      </c>
      <c r="G26" s="8">
        <f>VLOOKUP(A26,'[1]6_CCTNS_1_7'!B:P,14,0)</f>
        <v>71.62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VLOOKUP(A26,'[1]10_ESAKSHYA'!B:H,6,0)</f>
        <v>98.297872340425528</v>
      </c>
      <c r="L26" s="8">
        <f>VLOOKUP(A26,'[1]11_CRIMAC'!B:F,4,0)</f>
        <v>100</v>
      </c>
      <c r="M26" s="8">
        <f>VLOOKUP(A26,'[1]12_CEIR'!B:L,10,0)</f>
        <v>37.237394957983199</v>
      </c>
      <c r="N26" s="8">
        <f>VLOOKUP(A26,'[1]13_EPROSEC'!B:H,6,0)</f>
        <v>100</v>
      </c>
      <c r="O26" s="8">
        <f>VLOOKUP(A26,'[1]14_FIR_CS_COURT'!B:L,11,0)</f>
        <v>94.322549188321005</v>
      </c>
      <c r="P26" s="8">
        <f>VLOOKUP(A26,'[1]15_EOFFICE'!B:K,9,0)</f>
        <v>100</v>
      </c>
      <c r="Q26" s="8">
        <f>VLOOKUP(A26,'[1]16_APOLIS'!B:K,10,0)</f>
        <v>100</v>
      </c>
      <c r="R26" s="8">
        <f>VLOOKUP(A26,'[1]17_DRONE_FLYING'!B:J,9,0)</f>
        <v>20</v>
      </c>
      <c r="S26" s="8">
        <f>VLOOKUP(A26,'[1]18_112_TABS'!B:H,6,0)</f>
        <v>100</v>
      </c>
      <c r="T26" s="8">
        <f>VLOOKUP(A26,'[1]19_DIAL100_RES'!B:H,6,0)</f>
        <v>95.22</v>
      </c>
      <c r="U26" s="8">
        <f>VLOOKUP(A26,'[1]20_CCTV_360'!B:S,18,0)</f>
        <v>100</v>
      </c>
      <c r="V26" s="8">
        <f>VLOOKUP(A26,'[1]21_NEWS360AI'!B:D,2,0)</f>
        <v>0</v>
      </c>
      <c r="W26" s="9" t="str">
        <f>VLOOKUP(A26,'[1]27_EFSL'!B:H,6,0)</f>
        <v>100.00</v>
      </c>
      <c r="X26" s="10">
        <f>VLOOKUP(A26,'[1]28_UC3'!B:D,2,0)</f>
        <v>0</v>
      </c>
      <c r="Y26" s="10">
        <f>VLOOKUP(A26,'[1]29_UC4'!B:D,2,0)</f>
        <v>0</v>
      </c>
    </row>
    <row r="27" spans="1:25" s="11" customFormat="1" ht="25.95" customHeight="1">
      <c r="A27" s="12" t="s">
        <v>50</v>
      </c>
      <c r="B27" s="8" t="str">
        <f>VLOOKUP(A27,'[1]1_MEDLEAPR_PME'!B:H,6,0)</f>
        <v>100.00</v>
      </c>
      <c r="C27" s="8" t="str">
        <f>VLOOKUP(A27,'[1]2_MEDLEAPR_MLC'!B:I,6,0)</f>
        <v>100.00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VLOOKUP(A27,'[1]5_CCTNS_TILL'!B:P,14,0)</f>
        <v>100</v>
      </c>
      <c r="G27" s="8">
        <f>VLOOKUP(A27,'[1]6_CCTNS_1_7'!B:P,14,0)</f>
        <v>71.62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VLOOKUP(A27,'[1]10_ESAKSHYA'!B:H,6,0)</f>
        <v>93.793103448275858</v>
      </c>
      <c r="L27" s="8">
        <f>VLOOKUP(A27,'[1]11_CRIMAC'!B:F,4,0)</f>
        <v>100</v>
      </c>
      <c r="M27" s="8">
        <f>VLOOKUP(A27,'[1]12_CEIR'!B:L,10,0)</f>
        <v>23.590425531914892</v>
      </c>
      <c r="N27" s="8">
        <f>VLOOKUP(A27,'[1]13_EPROSEC'!B:H,6,0)</f>
        <v>100</v>
      </c>
      <c r="O27" s="8">
        <f>VLOOKUP(A27,'[1]14_FIR_CS_COURT'!B:L,11,0)</f>
        <v>99.487179487179489</v>
      </c>
      <c r="P27" s="8">
        <f>VLOOKUP(A27,'[1]15_EOFFICE'!B:K,9,0)</f>
        <v>100</v>
      </c>
      <c r="Q27" s="8">
        <f>VLOOKUP(A27,'[1]16_APOLIS'!B:K,10,0)</f>
        <v>100</v>
      </c>
      <c r="R27" s="8">
        <f>VLOOKUP(A27,'[1]17_DRONE_FLYING'!B:J,9,0)</f>
        <v>80</v>
      </c>
      <c r="S27" s="8">
        <f>VLOOKUP(A27,'[1]18_112_TABS'!B:H,6,0)</f>
        <v>50</v>
      </c>
      <c r="T27" s="8">
        <f>VLOOKUP(A27,'[1]19_DIAL100_RES'!B:H,6,0)</f>
        <v>58.91</v>
      </c>
      <c r="U27" s="8">
        <f>VLOOKUP(A27,'[1]20_CCTV_360'!B:S,18,0)</f>
        <v>92.857142857142861</v>
      </c>
      <c r="V27" s="8">
        <f>VLOOKUP(A27,'[1]21_NEWS360AI'!B:D,2,0)</f>
        <v>0</v>
      </c>
      <c r="W27" s="9" t="str">
        <f>VLOOKUP(A27,'[1]27_EFSL'!B:H,6,0)</f>
        <v>100.00</v>
      </c>
      <c r="X27" s="10">
        <f>VLOOKUP(A27,'[1]28_UC3'!B:D,2,0)</f>
        <v>0</v>
      </c>
      <c r="Y27" s="10">
        <f>VLOOKUP(A27,'[1]29_UC4'!B:D,2,0)</f>
        <v>0</v>
      </c>
    </row>
    <row r="28" spans="1:25" s="11" customFormat="1" ht="25.95" customHeight="1">
      <c r="A28" s="12" t="s">
        <v>51</v>
      </c>
      <c r="B28" s="8">
        <f>VLOOKUP(A28,'[1]1_MEDLEAPR_PME'!B:H,6,0)</f>
        <v>100</v>
      </c>
      <c r="C28" s="8">
        <f>VLOOKUP(A28,'[1]2_MEDLEAPR_MLC'!B:I,6,0)</f>
        <v>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VLOOKUP(A28,'[1]5_CCTNS_TILL'!B:P,14,0)</f>
        <v>89.35</v>
      </c>
      <c r="G28" s="8">
        <f>VLOOKUP(A28,'[1]6_CCTNS_1_7'!B:P,14,0)</f>
        <v>58.36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VLOOKUP(A28,'[1]10_ESAKSHYA'!B:H,6,0)</f>
        <v>97.959183673469383</v>
      </c>
      <c r="L28" s="8">
        <f>VLOOKUP(A28,'[1]11_CRIMAC'!B:F,4,0)</f>
        <v>100</v>
      </c>
      <c r="M28" s="8">
        <f>VLOOKUP(A28,'[1]12_CEIR'!B:L,10,0)</f>
        <v>35</v>
      </c>
      <c r="N28" s="8">
        <f>VLOOKUP(A28,'[1]13_EPROSEC'!B:H,6,0)</f>
        <v>100</v>
      </c>
      <c r="O28" s="8">
        <f>VLOOKUP(A28,'[1]14_FIR_CS_COURT'!B:L,11,0)</f>
        <v>79.384408602150529</v>
      </c>
      <c r="P28" s="8">
        <f>VLOOKUP(A28,'[1]15_EOFFICE'!B:K,9,0)</f>
        <v>100</v>
      </c>
      <c r="Q28" s="8">
        <f>VLOOKUP(A28,'[1]16_APOLIS'!B:K,10,0)</f>
        <v>100</v>
      </c>
      <c r="R28" s="8">
        <f>VLOOKUP(A28,'[1]17_DRONE_FLYING'!B:J,9,0)</f>
        <v>100</v>
      </c>
      <c r="S28" s="8">
        <f>VLOOKUP(A28,'[1]18_112_TABS'!B:H,6,0)</f>
        <v>100</v>
      </c>
      <c r="T28" s="8">
        <f>VLOOKUP(A28,'[1]19_DIAL100_RES'!B:H,6,0)</f>
        <v>71.52</v>
      </c>
      <c r="U28" s="8">
        <f>VLOOKUP(A28,'[1]20_CCTV_360'!B:S,18,0)</f>
        <v>100</v>
      </c>
      <c r="V28" s="8">
        <f>VLOOKUP(A28,'[1]21_NEWS360AI'!B:D,2,0)</f>
        <v>0</v>
      </c>
      <c r="W28" s="9" t="str">
        <f>VLOOKUP(A28,'[1]27_EFSL'!B:H,6,0)</f>
        <v>100.00</v>
      </c>
      <c r="X28" s="10">
        <f>VLOOKUP(A28,'[1]28_UC3'!B:D,2,0)</f>
        <v>0</v>
      </c>
      <c r="Y28" s="10">
        <f>VLOOKUP(A28,'[1]29_UC4'!B:D,2,0)</f>
        <v>0</v>
      </c>
    </row>
    <row r="29" spans="1:25" s="11" customFormat="1" ht="25.95" customHeight="1">
      <c r="A29" s="12" t="s">
        <v>52</v>
      </c>
      <c r="B29" s="8" t="str">
        <f>VLOOKUP(A29,'[1]1_MEDLEAPR_PME'!B:H,6,0)</f>
        <v>100.00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VLOOKUP(A29,'[1]5_CCTNS_TILL'!B:P,14,0)</f>
        <v>92.1</v>
      </c>
      <c r="G29" s="8">
        <f>VLOOKUP(A29,'[1]6_CCTNS_1_7'!B:P,14,0)</f>
        <v>100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VLOOKUP(A29,'[1]10_ESAKSHYA'!B:H,6,0)</f>
        <v>100</v>
      </c>
      <c r="L29" s="8">
        <f>VLOOKUP(A29,'[1]11_CRIMAC'!B:F,4,0)</f>
        <v>100</v>
      </c>
      <c r="M29" s="8">
        <f>VLOOKUP(A29,'[1]12_CEIR'!B:L,10,0)</f>
        <v>23.087979094076655</v>
      </c>
      <c r="N29" s="8">
        <f>VLOOKUP(A29,'[1]13_EPROSEC'!B:H,6,0)</f>
        <v>100</v>
      </c>
      <c r="O29" s="8">
        <f>VLOOKUP(A29,'[1]14_FIR_CS_COURT'!B:L,11,0)</f>
        <v>96.774193548387103</v>
      </c>
      <c r="P29" s="8">
        <f>VLOOKUP(A29,'[1]15_EOFFICE'!B:K,9,0)</f>
        <v>100</v>
      </c>
      <c r="Q29" s="8">
        <f>VLOOKUP(A29,'[1]16_APOLIS'!B:K,10,0)</f>
        <v>100</v>
      </c>
      <c r="R29" s="8">
        <f>VLOOKUP(A29,'[1]17_DRONE_FLYING'!B:J,9,0)</f>
        <v>56</v>
      </c>
      <c r="S29" s="8">
        <f>VLOOKUP(A29,'[1]18_112_TABS'!B:H,6,0)</f>
        <v>100</v>
      </c>
      <c r="T29" s="8">
        <f>VLOOKUP(A29,'[1]19_DIAL100_RES'!B:H,6,0)</f>
        <v>76.3</v>
      </c>
      <c r="U29" s="8">
        <f>VLOOKUP(A29,'[1]20_CCTV_360'!B:S,18,0)</f>
        <v>92.857142857142861</v>
      </c>
      <c r="V29" s="8">
        <f>VLOOKUP(A29,'[1]21_NEWS360AI'!B:D,2,0)</f>
        <v>0</v>
      </c>
      <c r="W29" s="9" t="str">
        <f>VLOOKUP(A29,'[1]27_EFSL'!B:H,6,0)</f>
        <v>100.00</v>
      </c>
      <c r="X29" s="10">
        <f>VLOOKUP(A29,'[1]28_UC3'!B:D,2,0)</f>
        <v>0</v>
      </c>
      <c r="Y29" s="10">
        <f>VLOOKUP(A29,'[1]29_UC4'!B:D,2,0)</f>
        <v>0</v>
      </c>
    </row>
    <row r="30" spans="1:25" s="11" customFormat="1" ht="25.95" customHeight="1">
      <c r="A30" s="12" t="s">
        <v>53</v>
      </c>
      <c r="B30" s="8" t="str">
        <f>VLOOKUP(A30,'[1]1_MEDLEAPR_PME'!B:H,6,0)</f>
        <v>100.00</v>
      </c>
      <c r="C30" s="8">
        <f>VLOOKUP(A30,'[1]2_MEDLEAPR_MLC'!B:I,6,0)</f>
        <v>100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VLOOKUP(A30,'[1]5_CCTNS_TILL'!B:P,14,0)</f>
        <v>91.38</v>
      </c>
      <c r="G30" s="8">
        <f>VLOOKUP(A30,'[1]6_CCTNS_1_7'!B:P,14,0)</f>
        <v>51.72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VLOOKUP(A30,'[1]10_ESAKSHYA'!B:H,6,0)</f>
        <v>100</v>
      </c>
      <c r="L30" s="8">
        <f>VLOOKUP(A30,'[1]11_CRIMAC'!B:F,4,0)</f>
        <v>100</v>
      </c>
      <c r="M30" s="8">
        <f>VLOOKUP(A30,'[1]12_CEIR'!B:L,10,0)</f>
        <v>45.178571428571431</v>
      </c>
      <c r="N30" s="8">
        <f>VLOOKUP(A30,'[1]13_EPROSEC'!B:H,6,0)</f>
        <v>100</v>
      </c>
      <c r="O30" s="8">
        <f>VLOOKUP(A30,'[1]14_FIR_CS_COURT'!B:L,11,0)</f>
        <v>98.571428571428569</v>
      </c>
      <c r="P30" s="8">
        <f>VLOOKUP(A30,'[1]15_EOFFICE'!B:K,9,0)</f>
        <v>100</v>
      </c>
      <c r="Q30" s="8">
        <f>VLOOKUP(A30,'[1]16_APOLIS'!B:K,10,0)</f>
        <v>100</v>
      </c>
      <c r="R30" s="8">
        <f>VLOOKUP(A30,'[1]17_DRONE_FLYING'!B:J,9,0)</f>
        <v>20</v>
      </c>
      <c r="S30" s="8">
        <f>VLOOKUP(A30,'[1]18_112_TABS'!B:H,6,0)</f>
        <v>100</v>
      </c>
      <c r="T30" s="8">
        <f>VLOOKUP(A30,'[1]19_DIAL100_RES'!B:H,6,0)</f>
        <v>80.22</v>
      </c>
      <c r="U30" s="8">
        <f>VLOOKUP(A30,'[1]20_CCTV_360'!B:S,18,0)</f>
        <v>100</v>
      </c>
      <c r="V30" s="8">
        <f>VLOOKUP(A30,'[1]21_NEWS360AI'!B:D,2,0)</f>
        <v>0</v>
      </c>
      <c r="W30" s="9" t="str">
        <f>VLOOKUP(A30,'[1]27_EFSL'!B:H,6,0)</f>
        <v>100.00</v>
      </c>
      <c r="X30" s="10">
        <f>VLOOKUP(A30,'[1]28_UC3'!B:D,2,0)</f>
        <v>0</v>
      </c>
      <c r="Y30" s="10">
        <f>VLOOKUP(A30,'[1]29_UC4'!B:D,2,0)</f>
        <v>0</v>
      </c>
    </row>
    <row r="31" spans="1:25" s="11" customFormat="1" ht="25.95" customHeight="1">
      <c r="A31" s="12" t="s">
        <v>54</v>
      </c>
      <c r="B31" s="8" t="str">
        <f>VLOOKUP(A31,'[1]1_MEDLEAPR_PME'!B:H,6,0)</f>
        <v>100.00</v>
      </c>
      <c r="C31" s="8">
        <f>VLOOKUP(A31,'[1]2_MEDLEAPR_MLC'!B:I,6,0)</f>
        <v>100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VLOOKUP(A31,'[1]5_CCTNS_TILL'!B:P,14,0)</f>
        <v>100</v>
      </c>
      <c r="G31" s="8">
        <f>VLOOKUP(A31,'[1]6_CCTNS_1_7'!B:P,14,0)</f>
        <v>47.75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VLOOKUP(A31,'[1]10_ESAKSHYA'!B:H,6,0)</f>
        <v>100</v>
      </c>
      <c r="L31" s="8">
        <f>VLOOKUP(A31,'[1]11_CRIMAC'!B:F,4,0)</f>
        <v>100</v>
      </c>
      <c r="M31" s="8">
        <f>VLOOKUP(A31,'[1]12_CEIR'!B:L,10,0)</f>
        <v>31.825396825396822</v>
      </c>
      <c r="N31" s="8">
        <f>VLOOKUP(A31,'[1]13_EPROSEC'!B:H,6,0)</f>
        <v>100</v>
      </c>
      <c r="O31" s="8">
        <f>VLOOKUP(A31,'[1]14_FIR_CS_COURT'!B:L,11,0)</f>
        <v>99.768518518518519</v>
      </c>
      <c r="P31" s="8">
        <f>VLOOKUP(A31,'[1]15_EOFFICE'!B:K,9,0)</f>
        <v>100</v>
      </c>
      <c r="Q31" s="8">
        <f>VLOOKUP(A31,'[1]16_APOLIS'!B:K,10,0)</f>
        <v>100</v>
      </c>
      <c r="R31" s="8">
        <f>VLOOKUP(A31,'[1]17_DRONE_FLYING'!B:J,9,0)</f>
        <v>100</v>
      </c>
      <c r="S31" s="8">
        <f>VLOOKUP(A31,'[1]18_112_TABS'!B:H,6,0)</f>
        <v>100</v>
      </c>
      <c r="T31" s="8">
        <f>VLOOKUP(A31,'[1]19_DIAL100_RES'!B:H,6,0)</f>
        <v>56.96</v>
      </c>
      <c r="U31" s="8">
        <f>VLOOKUP(A31,'[1]20_CCTV_360'!B:S,18,0)</f>
        <v>100</v>
      </c>
      <c r="V31" s="8">
        <f>VLOOKUP(A31,'[1]21_NEWS360AI'!B:D,2,0)</f>
        <v>0</v>
      </c>
      <c r="W31" s="9" t="str">
        <f>VLOOKUP(A31,'[1]27_EFSL'!B:H,6,0)</f>
        <v>100.00</v>
      </c>
      <c r="X31" s="10">
        <f>VLOOKUP(A31,'[1]28_UC3'!B:D,2,0)</f>
        <v>0</v>
      </c>
      <c r="Y31" s="10">
        <f>VLOOKUP(A31,'[1]29_UC4'!B:D,2,0)</f>
        <v>0</v>
      </c>
    </row>
    <row r="32" spans="1:25" s="11" customFormat="1" ht="25.95" customHeight="1">
      <c r="A32" s="12" t="s">
        <v>55</v>
      </c>
      <c r="B32" s="8" t="str">
        <f>VLOOKUP(A32,'[1]1_MEDLEAPR_PME'!B:H,6,0)</f>
        <v>100.00</v>
      </c>
      <c r="C32" s="8">
        <f>VLOOKUP(A32,'[1]2_MEDLEAPR_MLC'!B:I,6,0)</f>
        <v>100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VLOOKUP(A32,'[1]5_CCTNS_TILL'!B:P,14,0)</f>
        <v>100</v>
      </c>
      <c r="G32" s="8">
        <f>VLOOKUP(A32,'[1]6_CCTNS_1_7'!B:P,14,0)</f>
        <v>31.83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VLOOKUP(A32,'[1]10_ESAKSHYA'!B:H,6,0)</f>
        <v>95.454545454545453</v>
      </c>
      <c r="L32" s="8">
        <f>VLOOKUP(A32,'[1]11_CRIMAC'!B:F,4,0)</f>
        <v>100</v>
      </c>
      <c r="M32" s="8">
        <f>VLOOKUP(A32,'[1]12_CEIR'!B:L,10,0)</f>
        <v>53.129699248120303</v>
      </c>
      <c r="N32" s="8">
        <f>VLOOKUP(A32,'[1]13_EPROSEC'!B:H,6,0)</f>
        <v>0</v>
      </c>
      <c r="O32" s="8">
        <f>VLOOKUP(A32,'[1]14_FIR_CS_COURT'!B:L,11,0)</f>
        <v>100</v>
      </c>
      <c r="P32" s="8">
        <f>VLOOKUP(A32,'[1]15_EOFFICE'!B:K,9,0)</f>
        <v>100</v>
      </c>
      <c r="Q32" s="8">
        <f>VLOOKUP(A32,'[1]16_APOLIS'!B:K,10,0)</f>
        <v>100</v>
      </c>
      <c r="R32" s="8">
        <f>VLOOKUP(A32,'[1]17_DRONE_FLYING'!B:J,9,0)</f>
        <v>20</v>
      </c>
      <c r="S32" s="8">
        <f>VLOOKUP(A32,'[1]18_112_TABS'!B:H,6,0)</f>
        <v>100</v>
      </c>
      <c r="T32" s="8">
        <f>VLOOKUP(A32,'[1]19_DIAL100_RES'!B:H,6,0)</f>
        <v>83.48</v>
      </c>
      <c r="U32" s="8">
        <f>VLOOKUP(A32,'[1]20_CCTV_360'!B:S,18,0)</f>
        <v>100</v>
      </c>
      <c r="V32" s="8">
        <f>VLOOKUP(A32,'[1]21_NEWS360AI'!B:D,2,0)</f>
        <v>0</v>
      </c>
      <c r="W32" s="9" t="str">
        <f>VLOOKUP(A32,'[1]27_EFSL'!B:H,6,0)</f>
        <v>100.00</v>
      </c>
      <c r="X32" s="10">
        <f>VLOOKUP(A32,'[1]28_UC3'!B:D,2,0)</f>
        <v>0</v>
      </c>
      <c r="Y32" s="10">
        <f>VLOOKUP(A32,'[1]29_UC4'!B:D,2,0)</f>
        <v>0</v>
      </c>
    </row>
    <row r="33" spans="1:25" s="11" customFormat="1" ht="25.95" customHeight="1">
      <c r="A33" s="12" t="s">
        <v>56</v>
      </c>
      <c r="B33" s="8" t="str">
        <f>VLOOKUP(A33,'[1]1_MEDLEAPR_PME'!B:H,6,0)</f>
        <v>100.00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VLOOKUP(A33,'[1]5_CCTNS_TILL'!B:P,14,0)</f>
        <v>89.63</v>
      </c>
      <c r="G33" s="8">
        <f>VLOOKUP(A33,'[1]6_CCTNS_1_7'!B:P,14,0)</f>
        <v>50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VLOOKUP(A33,'[1]10_ESAKSHYA'!B:H,6,0)</f>
        <v>97.764227642276424</v>
      </c>
      <c r="L33" s="8">
        <f>VLOOKUP(A33,'[1]11_CRIMAC'!B:F,4,0)</f>
        <v>100</v>
      </c>
      <c r="M33" s="8">
        <f>VLOOKUP(A33,'[1]12_CEIR'!B:L,10,0)</f>
        <v>45.892857142857146</v>
      </c>
      <c r="N33" s="8">
        <f>VLOOKUP(A33,'[1]13_EPROSEC'!B:H,6,0)</f>
        <v>100</v>
      </c>
      <c r="O33" s="8">
        <f>VLOOKUP(A33,'[1]14_FIR_CS_COURT'!B:L,11,0)</f>
        <v>85.323873341216654</v>
      </c>
      <c r="P33" s="8">
        <f>VLOOKUP(A33,'[1]15_EOFFICE'!B:K,9,0)</f>
        <v>100</v>
      </c>
      <c r="Q33" s="8">
        <f>VLOOKUP(A33,'[1]16_APOLIS'!B:K,10,0)</f>
        <v>98.275862068965523</v>
      </c>
      <c r="R33" s="8">
        <f>VLOOKUP(A33,'[1]17_DRONE_FLYING'!B:J,9,0)</f>
        <v>56</v>
      </c>
      <c r="S33" s="8">
        <f>VLOOKUP(A33,'[1]18_112_TABS'!B:H,6,0)</f>
        <v>100</v>
      </c>
      <c r="T33" s="8">
        <f>VLOOKUP(A33,'[1]19_DIAL100_RES'!B:H,6,0)</f>
        <v>80</v>
      </c>
      <c r="U33" s="8">
        <f>VLOOKUP(A33,'[1]20_CCTV_360'!B:S,18,0)</f>
        <v>92.857142857142861</v>
      </c>
      <c r="V33" s="8">
        <f>VLOOKUP(A33,'[1]21_NEWS360AI'!B:D,2,0)</f>
        <v>0</v>
      </c>
      <c r="W33" s="9" t="str">
        <f>VLOOKUP(A33,'[1]27_EFSL'!B:H,6,0)</f>
        <v>100.00</v>
      </c>
      <c r="X33" s="10">
        <f>VLOOKUP(A33,'[1]28_UC3'!B:D,2,0)</f>
        <v>0</v>
      </c>
      <c r="Y33" s="10">
        <f>VLOOKUP(A33,'[1]29_UC4'!B:D,2,0)</f>
        <v>0</v>
      </c>
    </row>
    <row r="34" spans="1:25" s="11" customFormat="1" ht="25.95" customHeight="1">
      <c r="A34" s="12" t="s">
        <v>57</v>
      </c>
      <c r="B34" s="8" t="str">
        <f>VLOOKUP(A34,'[1]1_MEDLEAPR_PME'!B:H,6,0)</f>
        <v>100.00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VLOOKUP(A34,'[1]5_CCTNS_TILL'!B:P,14,0)</f>
        <v>88.23</v>
      </c>
      <c r="G34" s="8">
        <f>VLOOKUP(A34,'[1]6_CCTNS_1_7'!B:P,14,0)</f>
        <v>87.6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VLOOKUP(A34,'[1]10_ESAKSHYA'!B:H,6,0)</f>
        <v>98.847262247838614</v>
      </c>
      <c r="L34" s="8">
        <f>VLOOKUP(A34,'[1]11_CRIMAC'!B:F,4,0)</f>
        <v>100</v>
      </c>
      <c r="M34" s="8">
        <f>VLOOKUP(A34,'[1]12_CEIR'!B:L,10,0)</f>
        <v>48.392857142857139</v>
      </c>
      <c r="N34" s="8">
        <f>VLOOKUP(A34,'[1]13_EPROSEC'!B:H,6,0)</f>
        <v>100</v>
      </c>
      <c r="O34" s="8">
        <f>VLOOKUP(A34,'[1]14_FIR_CS_COURT'!B:L,11,0)</f>
        <v>99.588477366255148</v>
      </c>
      <c r="P34" s="8">
        <f>VLOOKUP(A34,'[1]15_EOFFICE'!B:K,9,0)</f>
        <v>100</v>
      </c>
      <c r="Q34" s="8">
        <f>VLOOKUP(A34,'[1]16_APOLIS'!B:K,10,0)</f>
        <v>100</v>
      </c>
      <c r="R34" s="8">
        <f>VLOOKUP(A34,'[1]17_DRONE_FLYING'!B:J,9,0)</f>
        <v>80</v>
      </c>
      <c r="S34" s="8">
        <f>VLOOKUP(A34,'[1]18_112_TABS'!B:H,6,0)</f>
        <v>100</v>
      </c>
      <c r="T34" s="8">
        <f>VLOOKUP(A34,'[1]19_DIAL100_RES'!B:H,6,0)</f>
        <v>87.17</v>
      </c>
      <c r="U34" s="8">
        <f>VLOOKUP(A34,'[1]20_CCTV_360'!B:S,18,0)</f>
        <v>100</v>
      </c>
      <c r="V34" s="8">
        <f>VLOOKUP(A34,'[1]21_NEWS360AI'!B:D,2,0)</f>
        <v>0</v>
      </c>
      <c r="W34" s="9" t="str">
        <f>VLOOKUP(A34,'[1]27_EFSL'!B:H,6,0)</f>
        <v>100.00</v>
      </c>
      <c r="X34" s="10">
        <f>VLOOKUP(A34,'[1]28_UC3'!B:D,2,0)</f>
        <v>0</v>
      </c>
      <c r="Y34" s="10">
        <f>VLOOKUP(A34,'[1]29_UC4'!B:D,2,0)</f>
        <v>0</v>
      </c>
    </row>
    <row r="35" spans="1:25" s="11" customFormat="1" ht="25.95" customHeight="1">
      <c r="A35" s="12" t="s">
        <v>58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VLOOKUP(A35,'[1]5_CCTNS_TILL'!B:P,14,0)</f>
        <v>90.55</v>
      </c>
      <c r="G35" s="8">
        <f>VLOOKUP(A35,'[1]6_CCTNS_1_7'!B:P,14,0)</f>
        <v>100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VLOOKUP(A35,'[1]10_ESAKSHYA'!B:H,6,0)</f>
        <v>91.411042944785279</v>
      </c>
      <c r="L35" s="8">
        <f>VLOOKUP(A35,'[1]11_CRIMAC'!B:F,4,0)</f>
        <v>100</v>
      </c>
      <c r="M35" s="8">
        <f>VLOOKUP(A35,'[1]12_CEIR'!B:L,10,0)</f>
        <v>40.45807453416149</v>
      </c>
      <c r="N35" s="8">
        <f>VLOOKUP(A35,'[1]13_EPROSEC'!B:H,6,0)</f>
        <v>100</v>
      </c>
      <c r="O35" s="8">
        <f>VLOOKUP(A35,'[1]14_FIR_CS_COURT'!B:L,11,0)</f>
        <v>99.504950495049513</v>
      </c>
      <c r="P35" s="8">
        <f>VLOOKUP(A35,'[1]15_EOFFICE'!B:K,9,0)</f>
        <v>100</v>
      </c>
      <c r="Q35" s="8">
        <f>VLOOKUP(A35,'[1]16_APOLIS'!B:K,10,0)</f>
        <v>100</v>
      </c>
      <c r="R35" s="8">
        <f>VLOOKUP(A35,'[1]17_DRONE_FLYING'!B:J,9,0)</f>
        <v>27</v>
      </c>
      <c r="S35" s="8">
        <f>VLOOKUP(A35,'[1]18_112_TABS'!B:H,6,0)</f>
        <v>100</v>
      </c>
      <c r="T35" s="8">
        <f>VLOOKUP(A35,'[1]19_DIAL100_RES'!B:H,6,0)</f>
        <v>92.83</v>
      </c>
      <c r="U35" s="8">
        <f>VLOOKUP(A35,'[1]20_CCTV_360'!B:S,18,0)</f>
        <v>100</v>
      </c>
      <c r="V35" s="8">
        <f>VLOOKUP(A35,'[1]21_NEWS360AI'!B:D,2,0)</f>
        <v>0</v>
      </c>
      <c r="W35" s="9" t="str">
        <f>VLOOKUP(A35,'[1]27_EFSL'!B:H,6,0)</f>
        <v>100.00</v>
      </c>
      <c r="X35" s="10">
        <f>VLOOKUP(A35,'[1]28_UC3'!B:D,2,0)</f>
        <v>0</v>
      </c>
      <c r="Y35" s="10">
        <f>VLOOKUP(A35,'[1]29_UC4'!B:D,2,0)</f>
        <v>0</v>
      </c>
    </row>
    <row r="36" spans="1:25" s="11" customFormat="1" ht="25.95" customHeight="1">
      <c r="A36" s="12" t="s">
        <v>59</v>
      </c>
      <c r="B36" s="8">
        <f>VLOOKUP(A36,'[1]1_MEDLEAPR_PME'!B:H,6,0)</f>
        <v>100</v>
      </c>
      <c r="C36" s="8" t="str">
        <f>VLOOKUP(A36,'[1]2_MEDLEAPR_MLC'!B:I,6,0)</f>
        <v>100.00</v>
      </c>
      <c r="D36" s="8">
        <f>VLOOKUP(A36,'[1]3_NATGRID'!B:H,6,0)</f>
        <v>0</v>
      </c>
      <c r="E36" s="8">
        <f>VLOOKUP(A36,'[1]4_DGP_DASH'!B:E,3,0)</f>
        <v>100</v>
      </c>
      <c r="F36" s="8">
        <f>VLOOKUP(A36,'[1]5_CCTNS_TILL'!B:P,14,0)</f>
        <v>99.01</v>
      </c>
      <c r="G36" s="8">
        <f>VLOOKUP(A36,'[1]6_CCTNS_1_7'!B:P,14,0)</f>
        <v>31.83</v>
      </c>
      <c r="H36" s="8">
        <f>VLOOKUP(A36,'[1]7_CCTNS_8_15'!B:M,11,0)</f>
        <v>0</v>
      </c>
      <c r="I36" s="8">
        <f>VLOOKUP(A36,'[1]8_ZERO_FIRS'!B:H,6,0)</f>
        <v>100</v>
      </c>
      <c r="J36" s="8">
        <f>VLOOKUP(A36,'[1]9_CITIZEN_PORTAL'!B:H,6,0)</f>
        <v>100</v>
      </c>
      <c r="K36" s="8">
        <f>VLOOKUP(A36,'[1]10_ESAKSHYA'!B:H,6,0)</f>
        <v>100</v>
      </c>
      <c r="L36" s="8">
        <f>VLOOKUP(A36,'[1]11_CRIMAC'!B:F,4,0)</f>
        <v>100</v>
      </c>
      <c r="M36" s="8">
        <f>VLOOKUP(A36,'[1]12_CEIR'!B:L,10,0)</f>
        <v>41.937689969604861</v>
      </c>
      <c r="N36" s="8">
        <f>VLOOKUP(A36,'[1]13_EPROSEC'!B:H,6,0)</f>
        <v>100</v>
      </c>
      <c r="O36" s="8">
        <f>VLOOKUP(A36,'[1]14_FIR_CS_COURT'!B:L,11,0)</f>
        <v>99</v>
      </c>
      <c r="P36" s="8">
        <f>VLOOKUP(A36,'[1]15_EOFFICE'!B:K,9,0)</f>
        <v>100</v>
      </c>
      <c r="Q36" s="8">
        <f>VLOOKUP(A36,'[1]16_APOLIS'!B:K,10,0)</f>
        <v>100</v>
      </c>
      <c r="R36" s="8">
        <f>VLOOKUP(A36,'[1]17_DRONE_FLYING'!B:J,9,0)</f>
        <v>80</v>
      </c>
      <c r="S36" s="8">
        <f>VLOOKUP(A36,'[1]18_112_TABS'!B:H,6,0)</f>
        <v>100</v>
      </c>
      <c r="T36" s="8">
        <f>VLOOKUP(A36,'[1]19_DIAL100_RES'!B:H,6,0)</f>
        <v>58.7</v>
      </c>
      <c r="U36" s="8">
        <f>VLOOKUP(A36,'[1]20_CCTV_360'!B:S,18,0)</f>
        <v>92.857142857142861</v>
      </c>
      <c r="V36" s="8">
        <f>VLOOKUP(A36,'[1]21_NEWS360AI'!B:D,2,0)</f>
        <v>0</v>
      </c>
      <c r="W36" s="9" t="str">
        <f>VLOOKUP(A36,'[1]27_EFSL'!B:H,6,0)</f>
        <v>100.00</v>
      </c>
      <c r="X36" s="10">
        <f>VLOOKUP(A36,'[1]28_UC3'!B:D,2,0)</f>
        <v>0</v>
      </c>
      <c r="Y36" s="10">
        <f>VLOOKUP(A36,'[1]29_UC4'!B:D,2,0)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2026-09-30T03:20:59Z</dcterms:created>
  <dcterms:modified xsi:type="dcterms:W3CDTF">2026-09-30T03:21:33Z</dcterms:modified>
</cp:coreProperties>
</file>