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E BACKUP\WEEKLY REPORT\REPORTS_EXCEL_PDF\03-06-2026\"/>
    </mc:Choice>
  </mc:AlternateContent>
  <xr:revisionPtr revIDLastSave="0" documentId="8_{9744FCDF-6415-41E9-910C-8CAD27D7BA38}" xr6:coauthVersionLast="47" xr6:coauthVersionMax="47" xr10:uidLastSave="{00000000-0000-0000-0000-000000000000}"/>
  <bookViews>
    <workbookView xWindow="7860" yWindow="3180" windowWidth="12324" windowHeight="7764" firstSheet="13" activeTab="17" xr2:uid="{41F8989F-84D9-4CAA-8B26-8E69EF0316E6}"/>
  </bookViews>
  <sheets>
    <sheet name="1_NCL_60_DIST" sheetId="2" r:id="rId1"/>
    <sheet name="1_NCL_60_DIST_2" sheetId="3" r:id="rId2"/>
    <sheet name="3_NCL_90_DIST" sheetId="4" r:id="rId3"/>
    <sheet name="3_NCL_90_DIST_2" sheetId="5" r:id="rId4"/>
    <sheet name="5_CCTNS_STS_YR_DIST" sheetId="6" r:id="rId5"/>
    <sheet name="7_CCTNS_STS_WK_DIST" sheetId="7" r:id="rId6"/>
    <sheet name="9_CEIR_DIST" sheetId="8" r:id="rId7"/>
    <sheet name="11_ABS_PEN_DIST" sheetId="9" r:id="rId8"/>
    <sheet name="24_SID_NC_DIST" sheetId="10" r:id="rId9"/>
    <sheet name="24_SID_NC_DIST_2" sheetId="11" r:id="rId10"/>
    <sheet name="25_ITSSO_DIST" sheetId="12" r:id="rId11"/>
    <sheet name="25_ITSSO_DIST_2" sheetId="13" r:id="rId12"/>
    <sheet name="27_ESUMMONS" sheetId="14" r:id="rId13"/>
    <sheet name="34_MedLEaPR_DIST" sheetId="15" r:id="rId14"/>
    <sheet name="36_TABS_CTR" sheetId="16" r:id="rId15"/>
    <sheet name="38_100RT_DIST" sheetId="17" r:id="rId16"/>
    <sheet name="39_DRONES" sheetId="18" r:id="rId17"/>
    <sheet name="41_EOFFICE" sheetId="19" r:id="rId18"/>
  </sheets>
  <definedNames>
    <definedName name="_xlnm._FilterDatabase" localSheetId="6" hidden="1">'9_CEIR_DIST'!$B$2:$K$2</definedName>
    <definedName name="_xlnm.Print_Area" localSheetId="0">'1_NCL_60_DIST'!$A$1:$P$40</definedName>
    <definedName name="_xlnm.Print_Area" localSheetId="1">'1_NCL_60_DIST_2'!$A$1:$P$40</definedName>
    <definedName name="_xlnm.Print_Area" localSheetId="8">'24_SID_NC_DIST'!$A$1:$K$38</definedName>
    <definedName name="_xlnm.Print_Area" localSheetId="9">'24_SID_NC_DIST_2'!$A$1:$K$38</definedName>
    <definedName name="_xlnm.Print_Area" localSheetId="10">'25_ITSSO_DIST'!$A$1:$M$37</definedName>
    <definedName name="_xlnm.Print_Area" localSheetId="11">'25_ITSSO_DIST_2'!$A$1:$M$37</definedName>
    <definedName name="_xlnm.Print_Area" localSheetId="2">'3_NCL_90_DIST'!$A$1:$P$40</definedName>
    <definedName name="_xlnm.Print_Area" localSheetId="3">'3_NCL_90_DIST_2'!$A$1:$P$40</definedName>
    <definedName name="_xlnm.Print_Area" localSheetId="13">'34_MedLEaPR_DIST'!$A$1:$L$38</definedName>
    <definedName name="_xlnm.Print_Area" localSheetId="17">'41_EOFFICE'!$A$1:$L$39</definedName>
    <definedName name="_xlnm.Print_Area" localSheetId="4">'5_CCTNS_STS_YR_DIST'!$A$1:$N$37</definedName>
    <definedName name="_xlnm.Print_Area" localSheetId="6">'9_CEIR_DIST'!$A$2:$K$34</definedName>
    <definedName name="_xlnm.Print_Titles" localSheetId="0">'1_NCL_60_DIST'!$2:$5</definedName>
    <definedName name="_xlnm.Print_Titles" localSheetId="1">'1_NCL_60_DIST_2'!$2:$5</definedName>
    <definedName name="_xlnm.Print_Titles" localSheetId="8">'24_SID_NC_DIST'!$2:$2</definedName>
    <definedName name="_xlnm.Print_Titles" localSheetId="9">'24_SID_NC_DIST_2'!$2:$2</definedName>
    <definedName name="_xlnm.Print_Titles" localSheetId="10">'25_ITSSO_DIST'!$2:$2</definedName>
    <definedName name="_xlnm.Print_Titles" localSheetId="11">'25_ITSSO_DIST_2'!$2:$2</definedName>
    <definedName name="_xlnm.Print_Titles" localSheetId="2">'3_NCL_90_DIST'!$2:$5</definedName>
    <definedName name="_xlnm.Print_Titles" localSheetId="3">'3_NCL_90_DIST_2'!$2:$5</definedName>
    <definedName name="_xlnm.Print_Titles" localSheetId="13">'34_MedLEaPR_DIST'!$2:$3</definedName>
    <definedName name="_xlnm.Print_Titles" localSheetId="17">'41_EOFFICE'!$3:$4</definedName>
    <definedName name="_xlnm.Print_Titles" localSheetId="4">'5_CCTNS_STS_YR_DIST'!$2:$2</definedName>
    <definedName name="_xlnm.Print_Titles" localSheetId="6">'9_CEIR_DIST'!$1:$2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7" i="17" l="1"/>
  <c r="D37" i="17"/>
  <c r="C37" i="17"/>
  <c r="D37" i="16"/>
  <c r="F37" i="16" s="1"/>
  <c r="C37" i="16"/>
  <c r="F36" i="16"/>
  <c r="F35" i="16"/>
  <c r="F34" i="16"/>
  <c r="F33" i="16"/>
  <c r="F32" i="16"/>
  <c r="F31" i="16"/>
  <c r="F30" i="16"/>
  <c r="F29" i="16"/>
  <c r="F28" i="16"/>
  <c r="F27" i="16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F12" i="16"/>
  <c r="F11" i="16"/>
  <c r="F10" i="16"/>
  <c r="F9" i="16"/>
  <c r="F8" i="16"/>
  <c r="F7" i="16"/>
  <c r="F6" i="16"/>
  <c r="F5" i="16"/>
  <c r="F4" i="16"/>
  <c r="F3" i="16"/>
  <c r="L38" i="15"/>
  <c r="K38" i="15"/>
  <c r="J38" i="15"/>
  <c r="I38" i="15"/>
  <c r="H38" i="15"/>
  <c r="G38" i="15"/>
  <c r="F38" i="15"/>
  <c r="E38" i="15"/>
  <c r="D38" i="15"/>
  <c r="C38" i="15"/>
  <c r="A1" i="15"/>
  <c r="K37" i="13"/>
  <c r="J37" i="13"/>
  <c r="I37" i="13"/>
  <c r="H37" i="13"/>
  <c r="G37" i="13"/>
  <c r="F37" i="13"/>
  <c r="E37" i="13"/>
  <c r="M37" i="13" s="1"/>
  <c r="D37" i="13"/>
  <c r="C37" i="13"/>
  <c r="Q36" i="13"/>
  <c r="R36" i="13" s="1"/>
  <c r="O36" i="13"/>
  <c r="P36" i="13" s="1"/>
  <c r="R35" i="13"/>
  <c r="Q35" i="13"/>
  <c r="O35" i="13"/>
  <c r="P35" i="13" s="1"/>
  <c r="Q34" i="13"/>
  <c r="R34" i="13" s="1"/>
  <c r="O34" i="13"/>
  <c r="P34" i="13" s="1"/>
  <c r="Q33" i="13"/>
  <c r="R33" i="13" s="1"/>
  <c r="O33" i="13"/>
  <c r="P33" i="13" s="1"/>
  <c r="Q32" i="13"/>
  <c r="R32" i="13" s="1"/>
  <c r="O32" i="13"/>
  <c r="P32" i="13" s="1"/>
  <c r="R31" i="13"/>
  <c r="Q31" i="13"/>
  <c r="O31" i="13"/>
  <c r="P31" i="13" s="1"/>
  <c r="Q30" i="13"/>
  <c r="R30" i="13" s="1"/>
  <c r="O30" i="13"/>
  <c r="P30" i="13" s="1"/>
  <c r="Q29" i="13"/>
  <c r="R29" i="13" s="1"/>
  <c r="O29" i="13"/>
  <c r="P29" i="13" s="1"/>
  <c r="Q28" i="13"/>
  <c r="R28" i="13" s="1"/>
  <c r="O28" i="13"/>
  <c r="P28" i="13" s="1"/>
  <c r="R27" i="13"/>
  <c r="Q27" i="13"/>
  <c r="O27" i="13"/>
  <c r="P27" i="13" s="1"/>
  <c r="Q26" i="13"/>
  <c r="R26" i="13" s="1"/>
  <c r="O26" i="13"/>
  <c r="P26" i="13" s="1"/>
  <c r="Q25" i="13"/>
  <c r="R25" i="13" s="1"/>
  <c r="O25" i="13"/>
  <c r="P25" i="13" s="1"/>
  <c r="Q24" i="13"/>
  <c r="R24" i="13" s="1"/>
  <c r="O24" i="13"/>
  <c r="P24" i="13" s="1"/>
  <c r="R23" i="13"/>
  <c r="Q23" i="13"/>
  <c r="O23" i="13"/>
  <c r="P23" i="13" s="1"/>
  <c r="Q22" i="13"/>
  <c r="R22" i="13" s="1"/>
  <c r="O22" i="13"/>
  <c r="P22" i="13" s="1"/>
  <c r="Q21" i="13"/>
  <c r="R21" i="13" s="1"/>
  <c r="O21" i="13"/>
  <c r="P21" i="13" s="1"/>
  <c r="Q20" i="13"/>
  <c r="R20" i="13" s="1"/>
  <c r="O20" i="13"/>
  <c r="P20" i="13" s="1"/>
  <c r="R19" i="13"/>
  <c r="Q19" i="13"/>
  <c r="O19" i="13"/>
  <c r="P19" i="13" s="1"/>
  <c r="Q18" i="13"/>
  <c r="R18" i="13" s="1"/>
  <c r="O18" i="13"/>
  <c r="P18" i="13" s="1"/>
  <c r="Q17" i="13"/>
  <c r="R17" i="13" s="1"/>
  <c r="O17" i="13"/>
  <c r="P17" i="13" s="1"/>
  <c r="Q16" i="13"/>
  <c r="R16" i="13" s="1"/>
  <c r="O16" i="13"/>
  <c r="P16" i="13" s="1"/>
  <c r="R15" i="13"/>
  <c r="Q15" i="13"/>
  <c r="O15" i="13"/>
  <c r="P15" i="13" s="1"/>
  <c r="Q14" i="13"/>
  <c r="R14" i="13" s="1"/>
  <c r="O14" i="13"/>
  <c r="P14" i="13" s="1"/>
  <c r="Q13" i="13"/>
  <c r="R13" i="13" s="1"/>
  <c r="O13" i="13"/>
  <c r="P13" i="13" s="1"/>
  <c r="Q12" i="13"/>
  <c r="R12" i="13" s="1"/>
  <c r="O12" i="13"/>
  <c r="P12" i="13" s="1"/>
  <c r="R11" i="13"/>
  <c r="Q11" i="13"/>
  <c r="O11" i="13"/>
  <c r="P11" i="13" s="1"/>
  <c r="Q10" i="13"/>
  <c r="R10" i="13" s="1"/>
  <c r="O10" i="13"/>
  <c r="P10" i="13" s="1"/>
  <c r="Q9" i="13"/>
  <c r="R9" i="13" s="1"/>
  <c r="O9" i="13"/>
  <c r="P9" i="13" s="1"/>
  <c r="Q8" i="13"/>
  <c r="R8" i="13" s="1"/>
  <c r="O8" i="13"/>
  <c r="P8" i="13" s="1"/>
  <c r="R7" i="13"/>
  <c r="Q7" i="13"/>
  <c r="O7" i="13"/>
  <c r="P7" i="13" s="1"/>
  <c r="Q6" i="13"/>
  <c r="R6" i="13" s="1"/>
  <c r="O6" i="13"/>
  <c r="P6" i="13" s="1"/>
  <c r="Q5" i="13"/>
  <c r="R5" i="13" s="1"/>
  <c r="O5" i="13"/>
  <c r="P5" i="13" s="1"/>
  <c r="Q4" i="13"/>
  <c r="R4" i="13" s="1"/>
  <c r="O4" i="13"/>
  <c r="P4" i="13" s="1"/>
  <c r="R3" i="13"/>
  <c r="Q3" i="13"/>
  <c r="O3" i="13"/>
  <c r="P3" i="13" s="1"/>
  <c r="A1" i="13"/>
  <c r="K37" i="12"/>
  <c r="J37" i="12"/>
  <c r="I37" i="12"/>
  <c r="H37" i="12"/>
  <c r="G37" i="12"/>
  <c r="F37" i="12"/>
  <c r="E37" i="12"/>
  <c r="M37" i="12" s="1"/>
  <c r="D37" i="12"/>
  <c r="C37" i="12"/>
  <c r="Q36" i="12"/>
  <c r="R36" i="12" s="1"/>
  <c r="P36" i="12"/>
  <c r="O36" i="12"/>
  <c r="R35" i="12"/>
  <c r="Q35" i="12"/>
  <c r="O35" i="12"/>
  <c r="P35" i="12" s="1"/>
  <c r="Q34" i="12"/>
  <c r="R34" i="12" s="1"/>
  <c r="P34" i="12"/>
  <c r="O34" i="12"/>
  <c r="Q33" i="12"/>
  <c r="R33" i="12" s="1"/>
  <c r="O33" i="12"/>
  <c r="P33" i="12" s="1"/>
  <c r="Q32" i="12"/>
  <c r="R32" i="12" s="1"/>
  <c r="P32" i="12"/>
  <c r="O32" i="12"/>
  <c r="R31" i="12"/>
  <c r="Q31" i="12"/>
  <c r="O31" i="12"/>
  <c r="P31" i="12" s="1"/>
  <c r="Q30" i="12"/>
  <c r="R30" i="12" s="1"/>
  <c r="P30" i="12"/>
  <c r="O30" i="12"/>
  <c r="Q29" i="12"/>
  <c r="R29" i="12" s="1"/>
  <c r="O29" i="12"/>
  <c r="P29" i="12" s="1"/>
  <c r="Q28" i="12"/>
  <c r="R28" i="12" s="1"/>
  <c r="P28" i="12"/>
  <c r="O28" i="12"/>
  <c r="R27" i="12"/>
  <c r="Q27" i="12"/>
  <c r="O27" i="12"/>
  <c r="P27" i="12" s="1"/>
  <c r="Q26" i="12"/>
  <c r="R26" i="12" s="1"/>
  <c r="P26" i="12"/>
  <c r="O26" i="12"/>
  <c r="Q25" i="12"/>
  <c r="R25" i="12" s="1"/>
  <c r="O25" i="12"/>
  <c r="P25" i="12" s="1"/>
  <c r="Q24" i="12"/>
  <c r="R24" i="12" s="1"/>
  <c r="P24" i="12"/>
  <c r="O24" i="12"/>
  <c r="R23" i="12"/>
  <c r="Q23" i="12"/>
  <c r="O23" i="12"/>
  <c r="P23" i="12" s="1"/>
  <c r="Q22" i="12"/>
  <c r="R22" i="12" s="1"/>
  <c r="P22" i="12"/>
  <c r="O22" i="12"/>
  <c r="Q21" i="12"/>
  <c r="R21" i="12" s="1"/>
  <c r="O21" i="12"/>
  <c r="P21" i="12" s="1"/>
  <c r="Q20" i="12"/>
  <c r="R20" i="12" s="1"/>
  <c r="P20" i="12"/>
  <c r="O20" i="12"/>
  <c r="R19" i="12"/>
  <c r="Q19" i="12"/>
  <c r="O19" i="12"/>
  <c r="P19" i="12" s="1"/>
  <c r="Q18" i="12"/>
  <c r="R18" i="12" s="1"/>
  <c r="P18" i="12"/>
  <c r="O18" i="12"/>
  <c r="Q17" i="12"/>
  <c r="R17" i="12" s="1"/>
  <c r="O17" i="12"/>
  <c r="P17" i="12" s="1"/>
  <c r="Q16" i="12"/>
  <c r="R16" i="12" s="1"/>
  <c r="P16" i="12"/>
  <c r="O16" i="12"/>
  <c r="R15" i="12"/>
  <c r="Q15" i="12"/>
  <c r="O15" i="12"/>
  <c r="P15" i="12" s="1"/>
  <c r="Q14" i="12"/>
  <c r="R14" i="12" s="1"/>
  <c r="P14" i="12"/>
  <c r="O14" i="12"/>
  <c r="Q13" i="12"/>
  <c r="R13" i="12" s="1"/>
  <c r="O13" i="12"/>
  <c r="P13" i="12" s="1"/>
  <c r="Q12" i="12"/>
  <c r="R12" i="12" s="1"/>
  <c r="P12" i="12"/>
  <c r="O12" i="12"/>
  <c r="R11" i="12"/>
  <c r="Q11" i="12"/>
  <c r="O11" i="12"/>
  <c r="P11" i="12" s="1"/>
  <c r="Q10" i="12"/>
  <c r="R10" i="12" s="1"/>
  <c r="P10" i="12"/>
  <c r="O10" i="12"/>
  <c r="Q9" i="12"/>
  <c r="R9" i="12" s="1"/>
  <c r="O9" i="12"/>
  <c r="P9" i="12" s="1"/>
  <c r="Q8" i="12"/>
  <c r="R8" i="12" s="1"/>
  <c r="P8" i="12"/>
  <c r="O8" i="12"/>
  <c r="R7" i="12"/>
  <c r="Q7" i="12"/>
  <c r="O7" i="12"/>
  <c r="P7" i="12" s="1"/>
  <c r="Q6" i="12"/>
  <c r="R6" i="12" s="1"/>
  <c r="P6" i="12"/>
  <c r="O6" i="12"/>
  <c r="Q5" i="12"/>
  <c r="R5" i="12" s="1"/>
  <c r="O5" i="12"/>
  <c r="P5" i="12" s="1"/>
  <c r="Q4" i="12"/>
  <c r="R4" i="12" s="1"/>
  <c r="P4" i="12"/>
  <c r="O4" i="12"/>
  <c r="R3" i="12"/>
  <c r="Q3" i="12"/>
  <c r="O3" i="12"/>
  <c r="P3" i="12" s="1"/>
  <c r="A1" i="12"/>
  <c r="J38" i="11"/>
  <c r="I38" i="11"/>
  <c r="H38" i="11"/>
  <c r="G38" i="11"/>
  <c r="F38" i="11"/>
  <c r="K38" i="11" s="1"/>
  <c r="E38" i="11"/>
  <c r="D38" i="11"/>
  <c r="C38" i="11"/>
  <c r="A1" i="11"/>
  <c r="J38" i="10"/>
  <c r="I38" i="10"/>
  <c r="H38" i="10"/>
  <c r="G38" i="10"/>
  <c r="F38" i="10"/>
  <c r="K38" i="10" s="1"/>
  <c r="E38" i="10"/>
  <c r="D38" i="10"/>
  <c r="C38" i="10"/>
  <c r="A1" i="10"/>
  <c r="M37" i="9"/>
  <c r="L37" i="9"/>
  <c r="K37" i="9"/>
  <c r="J37" i="9"/>
  <c r="I37" i="9"/>
  <c r="H37" i="9"/>
  <c r="G37" i="9"/>
  <c r="F37" i="9"/>
  <c r="E37" i="9"/>
  <c r="D37" i="9"/>
  <c r="C37" i="9"/>
  <c r="A1" i="9"/>
  <c r="I34" i="8"/>
  <c r="H34" i="8"/>
  <c r="J34" i="8" s="1"/>
  <c r="I33" i="8"/>
  <c r="H33" i="8"/>
  <c r="J33" i="8" s="1"/>
  <c r="I32" i="8"/>
  <c r="H32" i="8"/>
  <c r="J32" i="8" s="1"/>
  <c r="I31" i="8"/>
  <c r="H31" i="8"/>
  <c r="J31" i="8" s="1"/>
  <c r="I30" i="8"/>
  <c r="H30" i="8"/>
  <c r="J30" i="8" s="1"/>
  <c r="I29" i="8"/>
  <c r="H29" i="8"/>
  <c r="J29" i="8" s="1"/>
  <c r="I28" i="8"/>
  <c r="H28" i="8"/>
  <c r="J28" i="8" s="1"/>
  <c r="I27" i="8"/>
  <c r="H27" i="8"/>
  <c r="J27" i="8" s="1"/>
  <c r="I26" i="8"/>
  <c r="H26" i="8"/>
  <c r="J26" i="8" s="1"/>
  <c r="I25" i="8"/>
  <c r="H25" i="8"/>
  <c r="J25" i="8" s="1"/>
  <c r="I24" i="8"/>
  <c r="H24" i="8"/>
  <c r="J24" i="8" s="1"/>
  <c r="I23" i="8"/>
  <c r="H23" i="8"/>
  <c r="J23" i="8" s="1"/>
  <c r="I22" i="8"/>
  <c r="H22" i="8"/>
  <c r="J22" i="8" s="1"/>
  <c r="I21" i="8"/>
  <c r="H21" i="8"/>
  <c r="J21" i="8" s="1"/>
  <c r="I20" i="8"/>
  <c r="H20" i="8"/>
  <c r="J20" i="8" s="1"/>
  <c r="I19" i="8"/>
  <c r="H19" i="8"/>
  <c r="J19" i="8" s="1"/>
  <c r="I18" i="8"/>
  <c r="H18" i="8"/>
  <c r="J18" i="8" s="1"/>
  <c r="I17" i="8"/>
  <c r="H17" i="8"/>
  <c r="J17" i="8" s="1"/>
  <c r="I16" i="8"/>
  <c r="H16" i="8"/>
  <c r="J16" i="8" s="1"/>
  <c r="I15" i="8"/>
  <c r="H15" i="8"/>
  <c r="J15" i="8" s="1"/>
  <c r="I14" i="8"/>
  <c r="H14" i="8"/>
  <c r="J14" i="8" s="1"/>
  <c r="I13" i="8"/>
  <c r="H13" i="8"/>
  <c r="J13" i="8" s="1"/>
  <c r="I12" i="8"/>
  <c r="H12" i="8"/>
  <c r="J12" i="8" s="1"/>
  <c r="I11" i="8"/>
  <c r="H11" i="8"/>
  <c r="J11" i="8" s="1"/>
  <c r="I10" i="8"/>
  <c r="H10" i="8"/>
  <c r="J10" i="8" s="1"/>
  <c r="I9" i="8"/>
  <c r="H9" i="8"/>
  <c r="J9" i="8" s="1"/>
  <c r="I8" i="8"/>
  <c r="H8" i="8"/>
  <c r="J8" i="8" s="1"/>
  <c r="I7" i="8"/>
  <c r="H7" i="8"/>
  <c r="J3" i="8" s="1"/>
  <c r="I6" i="8"/>
  <c r="H6" i="8"/>
  <c r="J6" i="8" s="1"/>
  <c r="I5" i="8"/>
  <c r="H5" i="8"/>
  <c r="J5" i="8" s="1"/>
  <c r="I4" i="8"/>
  <c r="H4" i="8"/>
  <c r="J4" i="8" s="1"/>
  <c r="L3" i="8"/>
  <c r="I3" i="8"/>
  <c r="K3" i="8" s="1"/>
  <c r="H3" i="8"/>
  <c r="M37" i="7"/>
  <c r="L37" i="7"/>
  <c r="K37" i="7"/>
  <c r="J37" i="7"/>
  <c r="I37" i="7"/>
  <c r="H37" i="7"/>
  <c r="G37" i="7"/>
  <c r="F37" i="7"/>
  <c r="E37" i="7"/>
  <c r="D37" i="7"/>
  <c r="C37" i="7"/>
  <c r="N37" i="7" s="1"/>
  <c r="A1" i="7"/>
  <c r="M37" i="6"/>
  <c r="L37" i="6"/>
  <c r="K37" i="6"/>
  <c r="J37" i="6"/>
  <c r="I37" i="6"/>
  <c r="H37" i="6"/>
  <c r="G37" i="6"/>
  <c r="F37" i="6"/>
  <c r="E37" i="6"/>
  <c r="D37" i="6"/>
  <c r="C37" i="6"/>
  <c r="N37" i="6" s="1"/>
  <c r="A1" i="6"/>
  <c r="N40" i="5"/>
  <c r="M40" i="5"/>
  <c r="R40" i="5" s="1"/>
  <c r="L40" i="5"/>
  <c r="K40" i="5"/>
  <c r="J40" i="5"/>
  <c r="I40" i="5"/>
  <c r="H40" i="5"/>
  <c r="G40" i="5"/>
  <c r="F40" i="5"/>
  <c r="E40" i="5"/>
  <c r="Q40" i="5" s="1"/>
  <c r="D40" i="5"/>
  <c r="C40" i="5"/>
  <c r="R39" i="5"/>
  <c r="T39" i="5" s="1"/>
  <c r="Q39" i="5"/>
  <c r="S39" i="5" s="1"/>
  <c r="R38" i="5"/>
  <c r="T38" i="5" s="1"/>
  <c r="Q38" i="5"/>
  <c r="S38" i="5" s="1"/>
  <c r="R37" i="5"/>
  <c r="T37" i="5" s="1"/>
  <c r="Q37" i="5"/>
  <c r="S37" i="5" s="1"/>
  <c r="T36" i="5"/>
  <c r="S36" i="5"/>
  <c r="R36" i="5"/>
  <c r="Q36" i="5"/>
  <c r="R35" i="5"/>
  <c r="T35" i="5" s="1"/>
  <c r="Q35" i="5"/>
  <c r="S35" i="5" s="1"/>
  <c r="R34" i="5"/>
  <c r="T34" i="5" s="1"/>
  <c r="Q34" i="5"/>
  <c r="S34" i="5" s="1"/>
  <c r="R33" i="5"/>
  <c r="T33" i="5" s="1"/>
  <c r="Q33" i="5"/>
  <c r="S33" i="5" s="1"/>
  <c r="T32" i="5"/>
  <c r="S32" i="5"/>
  <c r="R32" i="5"/>
  <c r="Q32" i="5"/>
  <c r="R31" i="5"/>
  <c r="T31" i="5" s="1"/>
  <c r="Q31" i="5"/>
  <c r="S31" i="5" s="1"/>
  <c r="R30" i="5"/>
  <c r="T30" i="5" s="1"/>
  <c r="Q30" i="5"/>
  <c r="S30" i="5" s="1"/>
  <c r="R29" i="5"/>
  <c r="T29" i="5" s="1"/>
  <c r="Q29" i="5"/>
  <c r="S29" i="5" s="1"/>
  <c r="T28" i="5"/>
  <c r="S28" i="5"/>
  <c r="R28" i="5"/>
  <c r="Q28" i="5"/>
  <c r="R27" i="5"/>
  <c r="T27" i="5" s="1"/>
  <c r="Q27" i="5"/>
  <c r="S27" i="5" s="1"/>
  <c r="R26" i="5"/>
  <c r="T26" i="5" s="1"/>
  <c r="Q26" i="5"/>
  <c r="S26" i="5" s="1"/>
  <c r="R25" i="5"/>
  <c r="T25" i="5" s="1"/>
  <c r="Q25" i="5"/>
  <c r="S25" i="5" s="1"/>
  <c r="T24" i="5"/>
  <c r="S24" i="5"/>
  <c r="R24" i="5"/>
  <c r="Q24" i="5"/>
  <c r="R23" i="5"/>
  <c r="T23" i="5" s="1"/>
  <c r="Q23" i="5"/>
  <c r="S23" i="5" s="1"/>
  <c r="R22" i="5"/>
  <c r="T22" i="5" s="1"/>
  <c r="Q22" i="5"/>
  <c r="S22" i="5" s="1"/>
  <c r="R21" i="5"/>
  <c r="T21" i="5" s="1"/>
  <c r="Q21" i="5"/>
  <c r="S21" i="5" s="1"/>
  <c r="T20" i="5"/>
  <c r="S20" i="5"/>
  <c r="R20" i="5"/>
  <c r="Q20" i="5"/>
  <c r="R19" i="5"/>
  <c r="T19" i="5" s="1"/>
  <c r="Q19" i="5"/>
  <c r="S19" i="5" s="1"/>
  <c r="R18" i="5"/>
  <c r="T18" i="5" s="1"/>
  <c r="Q18" i="5"/>
  <c r="S18" i="5" s="1"/>
  <c r="R17" i="5"/>
  <c r="T17" i="5" s="1"/>
  <c r="Q17" i="5"/>
  <c r="S17" i="5" s="1"/>
  <c r="T16" i="5"/>
  <c r="S16" i="5"/>
  <c r="R16" i="5"/>
  <c r="Q16" i="5"/>
  <c r="R15" i="5"/>
  <c r="T15" i="5" s="1"/>
  <c r="Q15" i="5"/>
  <c r="S15" i="5" s="1"/>
  <c r="R14" i="5"/>
  <c r="T14" i="5" s="1"/>
  <c r="Q14" i="5"/>
  <c r="S14" i="5" s="1"/>
  <c r="R13" i="5"/>
  <c r="T13" i="5" s="1"/>
  <c r="Q13" i="5"/>
  <c r="S13" i="5" s="1"/>
  <c r="T12" i="5"/>
  <c r="S12" i="5"/>
  <c r="R12" i="5"/>
  <c r="Q12" i="5"/>
  <c r="R11" i="5"/>
  <c r="T11" i="5" s="1"/>
  <c r="Q11" i="5"/>
  <c r="S11" i="5" s="1"/>
  <c r="R10" i="5"/>
  <c r="T10" i="5" s="1"/>
  <c r="Q10" i="5"/>
  <c r="S10" i="5" s="1"/>
  <c r="R9" i="5"/>
  <c r="T9" i="5" s="1"/>
  <c r="Q9" i="5"/>
  <c r="S9" i="5" s="1"/>
  <c r="T8" i="5"/>
  <c r="S8" i="5"/>
  <c r="R8" i="5"/>
  <c r="Q8" i="5"/>
  <c r="R7" i="5"/>
  <c r="T7" i="5" s="1"/>
  <c r="Q7" i="5"/>
  <c r="S7" i="5" s="1"/>
  <c r="R6" i="5"/>
  <c r="T6" i="5" s="1"/>
  <c r="Q6" i="5"/>
  <c r="S6" i="5" s="1"/>
  <c r="A1" i="5"/>
  <c r="N40" i="4"/>
  <c r="M40" i="4"/>
  <c r="R40" i="4" s="1"/>
  <c r="L40" i="4"/>
  <c r="K40" i="4"/>
  <c r="J40" i="4"/>
  <c r="I40" i="4"/>
  <c r="H40" i="4"/>
  <c r="G40" i="4"/>
  <c r="F40" i="4"/>
  <c r="E40" i="4"/>
  <c r="Q40" i="4" s="1"/>
  <c r="D40" i="4"/>
  <c r="C40" i="4"/>
  <c r="R39" i="4"/>
  <c r="T39" i="4" s="1"/>
  <c r="Q39" i="4"/>
  <c r="S39" i="4" s="1"/>
  <c r="R38" i="4"/>
  <c r="T38" i="4" s="1"/>
  <c r="Q38" i="4"/>
  <c r="S38" i="4" s="1"/>
  <c r="R37" i="4"/>
  <c r="T37" i="4" s="1"/>
  <c r="Q37" i="4"/>
  <c r="S37" i="4" s="1"/>
  <c r="T36" i="4"/>
  <c r="S36" i="4"/>
  <c r="R36" i="4"/>
  <c r="Q36" i="4"/>
  <c r="R35" i="4"/>
  <c r="T35" i="4" s="1"/>
  <c r="Q35" i="4"/>
  <c r="S35" i="4" s="1"/>
  <c r="R34" i="4"/>
  <c r="T34" i="4" s="1"/>
  <c r="Q34" i="4"/>
  <c r="S34" i="4" s="1"/>
  <c r="R33" i="4"/>
  <c r="T33" i="4" s="1"/>
  <c r="Q33" i="4"/>
  <c r="S33" i="4" s="1"/>
  <c r="T32" i="4"/>
  <c r="S32" i="4"/>
  <c r="R32" i="4"/>
  <c r="Q32" i="4"/>
  <c r="R31" i="4"/>
  <c r="T31" i="4" s="1"/>
  <c r="Q31" i="4"/>
  <c r="S31" i="4" s="1"/>
  <c r="R30" i="4"/>
  <c r="T30" i="4" s="1"/>
  <c r="Q30" i="4"/>
  <c r="S30" i="4" s="1"/>
  <c r="R29" i="4"/>
  <c r="T29" i="4" s="1"/>
  <c r="Q29" i="4"/>
  <c r="S29" i="4" s="1"/>
  <c r="T28" i="4"/>
  <c r="S28" i="4"/>
  <c r="R28" i="4"/>
  <c r="Q28" i="4"/>
  <c r="R27" i="4"/>
  <c r="T27" i="4" s="1"/>
  <c r="Q27" i="4"/>
  <c r="S27" i="4" s="1"/>
  <c r="R26" i="4"/>
  <c r="T26" i="4" s="1"/>
  <c r="Q26" i="4"/>
  <c r="S26" i="4" s="1"/>
  <c r="R25" i="4"/>
  <c r="T25" i="4" s="1"/>
  <c r="Q25" i="4"/>
  <c r="S25" i="4" s="1"/>
  <c r="T24" i="4"/>
  <c r="S24" i="4"/>
  <c r="R24" i="4"/>
  <c r="Q24" i="4"/>
  <c r="R23" i="4"/>
  <c r="T23" i="4" s="1"/>
  <c r="Q23" i="4"/>
  <c r="S23" i="4" s="1"/>
  <c r="R22" i="4"/>
  <c r="T22" i="4" s="1"/>
  <c r="Q22" i="4"/>
  <c r="S22" i="4" s="1"/>
  <c r="R21" i="4"/>
  <c r="T21" i="4" s="1"/>
  <c r="Q21" i="4"/>
  <c r="S21" i="4" s="1"/>
  <c r="T20" i="4"/>
  <c r="S20" i="4"/>
  <c r="R20" i="4"/>
  <c r="Q20" i="4"/>
  <c r="R19" i="4"/>
  <c r="T19" i="4" s="1"/>
  <c r="Q19" i="4"/>
  <c r="S19" i="4" s="1"/>
  <c r="R18" i="4"/>
  <c r="T18" i="4" s="1"/>
  <c r="Q18" i="4"/>
  <c r="S18" i="4" s="1"/>
  <c r="R17" i="4"/>
  <c r="T17" i="4" s="1"/>
  <c r="Q17" i="4"/>
  <c r="S17" i="4" s="1"/>
  <c r="T16" i="4"/>
  <c r="S16" i="4"/>
  <c r="R16" i="4"/>
  <c r="Q16" i="4"/>
  <c r="R15" i="4"/>
  <c r="T15" i="4" s="1"/>
  <c r="Q15" i="4"/>
  <c r="S15" i="4" s="1"/>
  <c r="R14" i="4"/>
  <c r="T14" i="4" s="1"/>
  <c r="Q14" i="4"/>
  <c r="S14" i="4" s="1"/>
  <c r="R13" i="4"/>
  <c r="T13" i="4" s="1"/>
  <c r="Q13" i="4"/>
  <c r="S13" i="4" s="1"/>
  <c r="T12" i="4"/>
  <c r="S12" i="4"/>
  <c r="R12" i="4"/>
  <c r="Q12" i="4"/>
  <c r="R11" i="4"/>
  <c r="T11" i="4" s="1"/>
  <c r="Q11" i="4"/>
  <c r="S11" i="4" s="1"/>
  <c r="R10" i="4"/>
  <c r="T10" i="4" s="1"/>
  <c r="Q10" i="4"/>
  <c r="S10" i="4" s="1"/>
  <c r="R9" i="4"/>
  <c r="T9" i="4" s="1"/>
  <c r="Q9" i="4"/>
  <c r="S9" i="4" s="1"/>
  <c r="T8" i="4"/>
  <c r="S8" i="4"/>
  <c r="R8" i="4"/>
  <c r="Q8" i="4"/>
  <c r="R7" i="4"/>
  <c r="T7" i="4" s="1"/>
  <c r="Q7" i="4"/>
  <c r="S7" i="4" s="1"/>
  <c r="R6" i="4"/>
  <c r="T6" i="4" s="1"/>
  <c r="Q6" i="4"/>
  <c r="S6" i="4" s="1"/>
  <c r="A1" i="4"/>
  <c r="E45" i="3"/>
  <c r="N40" i="3"/>
  <c r="M40" i="3"/>
  <c r="R40" i="3" s="1"/>
  <c r="L40" i="3"/>
  <c r="K40" i="3"/>
  <c r="J40" i="3"/>
  <c r="O40" i="3" s="1"/>
  <c r="I40" i="3"/>
  <c r="H40" i="3"/>
  <c r="G40" i="3"/>
  <c r="F40" i="3"/>
  <c r="E40" i="3"/>
  <c r="D40" i="3"/>
  <c r="C40" i="3"/>
  <c r="R39" i="3"/>
  <c r="T39" i="3" s="1"/>
  <c r="Q39" i="3"/>
  <c r="S39" i="3" s="1"/>
  <c r="R38" i="3"/>
  <c r="T38" i="3" s="1"/>
  <c r="Q38" i="3"/>
  <c r="S38" i="3" s="1"/>
  <c r="R37" i="3"/>
  <c r="T37" i="3" s="1"/>
  <c r="Q37" i="3"/>
  <c r="S37" i="3" s="1"/>
  <c r="T36" i="3"/>
  <c r="R36" i="3"/>
  <c r="Q36" i="3"/>
  <c r="S36" i="3" s="1"/>
  <c r="R35" i="3"/>
  <c r="T35" i="3" s="1"/>
  <c r="Q35" i="3"/>
  <c r="S35" i="3" s="1"/>
  <c r="R34" i="3"/>
  <c r="T34" i="3" s="1"/>
  <c r="Q34" i="3"/>
  <c r="S34" i="3" s="1"/>
  <c r="R33" i="3"/>
  <c r="T33" i="3" s="1"/>
  <c r="Q33" i="3"/>
  <c r="S33" i="3" s="1"/>
  <c r="T32" i="3"/>
  <c r="R32" i="3"/>
  <c r="Q32" i="3"/>
  <c r="S32" i="3" s="1"/>
  <c r="R31" i="3"/>
  <c r="T31" i="3" s="1"/>
  <c r="Q31" i="3"/>
  <c r="S31" i="3" s="1"/>
  <c r="R30" i="3"/>
  <c r="T30" i="3" s="1"/>
  <c r="Q30" i="3"/>
  <c r="S30" i="3" s="1"/>
  <c r="R29" i="3"/>
  <c r="T29" i="3" s="1"/>
  <c r="Q29" i="3"/>
  <c r="S29" i="3" s="1"/>
  <c r="T28" i="3"/>
  <c r="R28" i="3"/>
  <c r="Q28" i="3"/>
  <c r="S28" i="3" s="1"/>
  <c r="R27" i="3"/>
  <c r="T27" i="3" s="1"/>
  <c r="Q27" i="3"/>
  <c r="S27" i="3" s="1"/>
  <c r="R26" i="3"/>
  <c r="T26" i="3" s="1"/>
  <c r="Q26" i="3"/>
  <c r="S26" i="3" s="1"/>
  <c r="R25" i="3"/>
  <c r="T25" i="3" s="1"/>
  <c r="Q25" i="3"/>
  <c r="S25" i="3" s="1"/>
  <c r="T24" i="3"/>
  <c r="R24" i="3"/>
  <c r="Q24" i="3"/>
  <c r="S24" i="3" s="1"/>
  <c r="R23" i="3"/>
  <c r="T23" i="3" s="1"/>
  <c r="Q23" i="3"/>
  <c r="S23" i="3" s="1"/>
  <c r="R22" i="3"/>
  <c r="T22" i="3" s="1"/>
  <c r="Q22" i="3"/>
  <c r="S22" i="3" s="1"/>
  <c r="T21" i="3"/>
  <c r="R21" i="3"/>
  <c r="Q21" i="3"/>
  <c r="S21" i="3" s="1"/>
  <c r="T20" i="3"/>
  <c r="R20" i="3"/>
  <c r="Q20" i="3"/>
  <c r="S20" i="3" s="1"/>
  <c r="R19" i="3"/>
  <c r="T19" i="3" s="1"/>
  <c r="Q19" i="3"/>
  <c r="S19" i="3" s="1"/>
  <c r="R18" i="3"/>
  <c r="T18" i="3" s="1"/>
  <c r="Q18" i="3"/>
  <c r="S18" i="3" s="1"/>
  <c r="R17" i="3"/>
  <c r="T17" i="3" s="1"/>
  <c r="Q17" i="3"/>
  <c r="S17" i="3" s="1"/>
  <c r="T16" i="3"/>
  <c r="R16" i="3"/>
  <c r="Q16" i="3"/>
  <c r="S16" i="3" s="1"/>
  <c r="R15" i="3"/>
  <c r="T15" i="3" s="1"/>
  <c r="Q15" i="3"/>
  <c r="S15" i="3" s="1"/>
  <c r="R14" i="3"/>
  <c r="T14" i="3" s="1"/>
  <c r="Q14" i="3"/>
  <c r="S14" i="3" s="1"/>
  <c r="R13" i="3"/>
  <c r="T13" i="3" s="1"/>
  <c r="Q13" i="3"/>
  <c r="S13" i="3" s="1"/>
  <c r="T12" i="3"/>
  <c r="R12" i="3"/>
  <c r="Q12" i="3"/>
  <c r="S12" i="3" s="1"/>
  <c r="R11" i="3"/>
  <c r="T11" i="3" s="1"/>
  <c r="Q11" i="3"/>
  <c r="S11" i="3" s="1"/>
  <c r="R10" i="3"/>
  <c r="T10" i="3" s="1"/>
  <c r="Q10" i="3"/>
  <c r="S10" i="3" s="1"/>
  <c r="R9" i="3"/>
  <c r="T9" i="3" s="1"/>
  <c r="Q9" i="3"/>
  <c r="S9" i="3" s="1"/>
  <c r="T8" i="3"/>
  <c r="R8" i="3"/>
  <c r="Q8" i="3"/>
  <c r="S8" i="3" s="1"/>
  <c r="R7" i="3"/>
  <c r="T7" i="3" s="1"/>
  <c r="Q7" i="3"/>
  <c r="S7" i="3" s="1"/>
  <c r="R6" i="3"/>
  <c r="T6" i="3" s="1"/>
  <c r="Q6" i="3"/>
  <c r="S6" i="3" s="1"/>
  <c r="A1" i="3"/>
  <c r="N40" i="2"/>
  <c r="M40" i="2"/>
  <c r="R40" i="2" s="1"/>
  <c r="L40" i="2"/>
  <c r="K40" i="2"/>
  <c r="J40" i="2"/>
  <c r="I40" i="2"/>
  <c r="H40" i="2"/>
  <c r="G40" i="2"/>
  <c r="F40" i="2"/>
  <c r="E40" i="2"/>
  <c r="Q40" i="2" s="1"/>
  <c r="D40" i="2"/>
  <c r="C40" i="2"/>
  <c r="R39" i="2"/>
  <c r="T39" i="2" s="1"/>
  <c r="Q39" i="2"/>
  <c r="S39" i="2" s="1"/>
  <c r="R38" i="2"/>
  <c r="T38" i="2" s="1"/>
  <c r="Q38" i="2"/>
  <c r="S38" i="2" s="1"/>
  <c r="R37" i="2"/>
  <c r="T37" i="2" s="1"/>
  <c r="Q37" i="2"/>
  <c r="S37" i="2" s="1"/>
  <c r="T36" i="2"/>
  <c r="S36" i="2"/>
  <c r="R36" i="2"/>
  <c r="Q36" i="2"/>
  <c r="R35" i="2"/>
  <c r="T35" i="2" s="1"/>
  <c r="Q35" i="2"/>
  <c r="S35" i="2" s="1"/>
  <c r="R34" i="2"/>
  <c r="T34" i="2" s="1"/>
  <c r="Q34" i="2"/>
  <c r="S34" i="2" s="1"/>
  <c r="R33" i="2"/>
  <c r="T33" i="2" s="1"/>
  <c r="Q33" i="2"/>
  <c r="S33" i="2" s="1"/>
  <c r="T32" i="2"/>
  <c r="S32" i="2"/>
  <c r="R32" i="2"/>
  <c r="Q32" i="2"/>
  <c r="R31" i="2"/>
  <c r="T31" i="2" s="1"/>
  <c r="Q31" i="2"/>
  <c r="S31" i="2" s="1"/>
  <c r="R30" i="2"/>
  <c r="T30" i="2" s="1"/>
  <c r="Q30" i="2"/>
  <c r="S30" i="2" s="1"/>
  <c r="R29" i="2"/>
  <c r="T29" i="2" s="1"/>
  <c r="Q29" i="2"/>
  <c r="S29" i="2" s="1"/>
  <c r="T28" i="2"/>
  <c r="S28" i="2"/>
  <c r="R28" i="2"/>
  <c r="Q28" i="2"/>
  <c r="R27" i="2"/>
  <c r="T27" i="2" s="1"/>
  <c r="Q27" i="2"/>
  <c r="S27" i="2" s="1"/>
  <c r="R26" i="2"/>
  <c r="T26" i="2" s="1"/>
  <c r="Q26" i="2"/>
  <c r="S26" i="2" s="1"/>
  <c r="R25" i="2"/>
  <c r="T25" i="2" s="1"/>
  <c r="Q25" i="2"/>
  <c r="S25" i="2" s="1"/>
  <c r="T24" i="2"/>
  <c r="S24" i="2"/>
  <c r="R24" i="2"/>
  <c r="Q24" i="2"/>
  <c r="R23" i="2"/>
  <c r="T23" i="2" s="1"/>
  <c r="Q23" i="2"/>
  <c r="S23" i="2" s="1"/>
  <c r="R22" i="2"/>
  <c r="T22" i="2" s="1"/>
  <c r="Q22" i="2"/>
  <c r="S22" i="2" s="1"/>
  <c r="R21" i="2"/>
  <c r="T21" i="2" s="1"/>
  <c r="Q21" i="2"/>
  <c r="S21" i="2" s="1"/>
  <c r="T20" i="2"/>
  <c r="S20" i="2"/>
  <c r="R20" i="2"/>
  <c r="Q20" i="2"/>
  <c r="R19" i="2"/>
  <c r="T19" i="2" s="1"/>
  <c r="Q19" i="2"/>
  <c r="S19" i="2" s="1"/>
  <c r="R18" i="2"/>
  <c r="T18" i="2" s="1"/>
  <c r="Q18" i="2"/>
  <c r="S18" i="2" s="1"/>
  <c r="R17" i="2"/>
  <c r="T17" i="2" s="1"/>
  <c r="Q17" i="2"/>
  <c r="S17" i="2" s="1"/>
  <c r="T16" i="2"/>
  <c r="S16" i="2"/>
  <c r="R16" i="2"/>
  <c r="Q16" i="2"/>
  <c r="R15" i="2"/>
  <c r="T15" i="2" s="1"/>
  <c r="Q15" i="2"/>
  <c r="S15" i="2" s="1"/>
  <c r="R14" i="2"/>
  <c r="T14" i="2" s="1"/>
  <c r="Q14" i="2"/>
  <c r="S14" i="2" s="1"/>
  <c r="R13" i="2"/>
  <c r="T13" i="2" s="1"/>
  <c r="Q13" i="2"/>
  <c r="S13" i="2" s="1"/>
  <c r="T12" i="2"/>
  <c r="S12" i="2"/>
  <c r="R12" i="2"/>
  <c r="Q12" i="2"/>
  <c r="R11" i="2"/>
  <c r="T11" i="2" s="1"/>
  <c r="Q11" i="2"/>
  <c r="S11" i="2" s="1"/>
  <c r="R10" i="2"/>
  <c r="T10" i="2" s="1"/>
  <c r="Q10" i="2"/>
  <c r="S10" i="2" s="1"/>
  <c r="R9" i="2"/>
  <c r="T9" i="2" s="1"/>
  <c r="Q9" i="2"/>
  <c r="S9" i="2" s="1"/>
  <c r="T8" i="2"/>
  <c r="S8" i="2"/>
  <c r="R8" i="2"/>
  <c r="Q8" i="2"/>
  <c r="R7" i="2"/>
  <c r="T7" i="2" s="1"/>
  <c r="Q7" i="2"/>
  <c r="S7" i="2" s="1"/>
  <c r="R6" i="2"/>
  <c r="T6" i="2" s="1"/>
  <c r="Q6" i="2"/>
  <c r="S6" i="2" s="1"/>
  <c r="A1" i="2"/>
  <c r="L37" i="13" l="1"/>
  <c r="L37" i="12"/>
  <c r="K19" i="8"/>
  <c r="K4" i="8"/>
  <c r="K5" i="8"/>
  <c r="K29" i="8"/>
  <c r="K20" i="8"/>
  <c r="K13" i="8"/>
  <c r="K14" i="8"/>
  <c r="K22" i="8"/>
  <c r="K30" i="8"/>
  <c r="K15" i="8"/>
  <c r="K23" i="8"/>
  <c r="K31" i="8"/>
  <c r="K21" i="8"/>
  <c r="K6" i="8"/>
  <c r="K8" i="8"/>
  <c r="K16" i="8"/>
  <c r="K24" i="8"/>
  <c r="K32" i="8"/>
  <c r="K11" i="8"/>
  <c r="K12" i="8"/>
  <c r="K27" i="8"/>
  <c r="K9" i="8"/>
  <c r="K17" i="8"/>
  <c r="K25" i="8"/>
  <c r="K33" i="8"/>
  <c r="K28" i="8"/>
  <c r="K10" i="8"/>
  <c r="K18" i="8"/>
  <c r="K26" i="8"/>
  <c r="K34" i="8"/>
  <c r="J7" i="8"/>
  <c r="K7" i="8" s="1"/>
  <c r="O40" i="5"/>
  <c r="S40" i="5" s="1"/>
  <c r="P40" i="5"/>
  <c r="T40" i="5" s="1"/>
  <c r="O40" i="4"/>
  <c r="S40" i="4" s="1"/>
  <c r="P40" i="4"/>
  <c r="T40" i="4" s="1"/>
  <c r="P40" i="3"/>
  <c r="T40" i="3" s="1"/>
  <c r="Q40" i="3"/>
  <c r="S40" i="3" s="1"/>
  <c r="P40" i="2"/>
  <c r="T40" i="2" s="1"/>
  <c r="O40" i="2"/>
  <c r="S40" i="2" s="1"/>
</calcChain>
</file>

<file path=xl/sharedStrings.xml><?xml version="1.0" encoding="utf-8"?>
<sst xmlns="http://schemas.openxmlformats.org/spreadsheetml/2006/main" count="989" uniqueCount="359">
  <si>
    <t>SNO</t>
  </si>
  <si>
    <t>POLICE STATION</t>
  </si>
  <si>
    <t>TOTAL CASES REPORTED</t>
  </si>
  <si>
    <t>CASES_COMPLETED_60_DAYS (BEYOND TARGET DATE)</t>
  </si>
  <si>
    <t>CASES_NOT_COMPLETED_60_DAYS ( WITH IN TARGET DATE)</t>
  </si>
  <si>
    <t>TOTAL_FR/
CHARGED</t>
  </si>
  <si>
    <t>TOTAL UI</t>
  </si>
  <si>
    <t>ACTUAL_
COMPLIANCE %</t>
  </si>
  <si>
    <t>DISPOSAL_
PERCENTAGE</t>
  </si>
  <si>
    <t>CASES_COMPLETED_60_DAYS</t>
  </si>
  <si>
    <t>CS/FR_WITHIN_60_DAYS</t>
  </si>
  <si>
    <t>CS/FR_BEYOND_60_DAYS</t>
  </si>
  <si>
    <t>LOKADALATH_DISPOSAL_AT_UI_STAGE</t>
  </si>
  <si>
    <t>UI_BEYOND_60_DAYS</t>
  </si>
  <si>
    <t>CASES_NOT_
COMPLETD_
60_DAYS</t>
  </si>
  <si>
    <t>CS/FR_WITHIN_
60_DAYS</t>
  </si>
  <si>
    <t>LOKADALATH_DISPOSAL_AT_
UI_STAGE</t>
  </si>
  <si>
    <t>UI_WITHIN_60_DAYS</t>
  </si>
  <si>
    <t>A</t>
  </si>
  <si>
    <t>B</t>
  </si>
  <si>
    <t xml:space="preserve">C
</t>
  </si>
  <si>
    <t xml:space="preserve">D
</t>
  </si>
  <si>
    <t>E</t>
  </si>
  <si>
    <t>F</t>
  </si>
  <si>
    <t>G</t>
  </si>
  <si>
    <t>H</t>
  </si>
  <si>
    <t xml:space="preserve">I
</t>
  </si>
  <si>
    <t>J</t>
  </si>
  <si>
    <t>K</t>
  </si>
  <si>
    <t>L</t>
  </si>
  <si>
    <t>M</t>
  </si>
  <si>
    <t>N</t>
  </si>
  <si>
    <t xml:space="preserve">O
</t>
  </si>
  <si>
    <t xml:space="preserve">P
</t>
  </si>
  <si>
    <t>(D+I)</t>
  </si>
  <si>
    <t>(E+F+G+H)</t>
  </si>
  <si>
    <t>(J+K+L)</t>
  </si>
  <si>
    <t>(E+F+G+J+K)</t>
  </si>
  <si>
    <t>(H+L)</t>
  </si>
  <si>
    <t>(E+J)*100/(D+J)</t>
  </si>
  <si>
    <t>(M*100/C)</t>
  </si>
  <si>
    <t>Mahila UPS, Chittoor</t>
  </si>
  <si>
    <t>Gudipalli</t>
  </si>
  <si>
    <t>Palamaner UPS</t>
  </si>
  <si>
    <t>Panjani</t>
  </si>
  <si>
    <t>Kanipakam</t>
  </si>
  <si>
    <t>Rompicherla</t>
  </si>
  <si>
    <t>Gangavaram UPS</t>
  </si>
  <si>
    <t>Ramakuppam</t>
  </si>
  <si>
    <t>Bangarupalem UPS</t>
  </si>
  <si>
    <t>Baireddypalle</t>
  </si>
  <si>
    <t>Gudipala</t>
  </si>
  <si>
    <t>Kallur</t>
  </si>
  <si>
    <t>Chittoor Traffic UPS</t>
  </si>
  <si>
    <t>Rallabudugur</t>
  </si>
  <si>
    <t>Irala</t>
  </si>
  <si>
    <t>Thavanampalle</t>
  </si>
  <si>
    <t>Kuppam UPS</t>
  </si>
  <si>
    <t>Penumur</t>
  </si>
  <si>
    <t>V.Kota UPS</t>
  </si>
  <si>
    <t>Puthalapattu UPS</t>
  </si>
  <si>
    <t>Palasamudram</t>
  </si>
  <si>
    <t>Chittoor II Town UPS</t>
  </si>
  <si>
    <t>S.R.Puram</t>
  </si>
  <si>
    <t>Nagari UPS</t>
  </si>
  <si>
    <t>Narsingarayanipet(N.R.Pet)</t>
  </si>
  <si>
    <t>Chittoor I Town UPS</t>
  </si>
  <si>
    <t>Yadamari</t>
  </si>
  <si>
    <t>Vedurukuppam</t>
  </si>
  <si>
    <t>Chittoor Taluk PS</t>
  </si>
  <si>
    <t>K. Nagar</t>
  </si>
  <si>
    <t>G.D.Nellore UPS</t>
  </si>
  <si>
    <t>Vijayapuram</t>
  </si>
  <si>
    <t>Nindra</t>
  </si>
  <si>
    <t>CCS Chittoor UPS</t>
  </si>
  <si>
    <t>GRAND TOTAL</t>
  </si>
  <si>
    <t>CASES_COMPLETED_90_DAYS (BEYOND TARGET DATE)</t>
  </si>
  <si>
    <t>CASES_NOT_COMPLETED_90_DAYS( WITH IN TARGET DATE)</t>
  </si>
  <si>
    <t>CASES_COMPLETED_90_DAYS</t>
  </si>
  <si>
    <t>CS/FR_WITHIN_90_DAYS</t>
  </si>
  <si>
    <t>CS/FR_BEYOND_90_DAYS</t>
  </si>
  <si>
    <t>UI_BEYOND_90_DAYS</t>
  </si>
  <si>
    <t>CASES_NOT_
COMPLETD_
90_DAYS</t>
  </si>
  <si>
    <t>CS/FR_WITHIN_
90_DAYS</t>
  </si>
  <si>
    <t>UI_WITHIN_90_DAYS</t>
  </si>
  <si>
    <t xml:space="preserve"> </t>
  </si>
  <si>
    <t>S.No</t>
  </si>
  <si>
    <t>PS</t>
  </si>
  <si>
    <t>FIR</t>
  </si>
  <si>
    <t>CDF</t>
  </si>
  <si>
    <t>ACS</t>
  </si>
  <si>
    <t>PSS</t>
  </si>
  <si>
    <t>CD PartI</t>
  </si>
  <si>
    <t>CD Part II</t>
  </si>
  <si>
    <t xml:space="preserve"> Charge Sheet</t>
  </si>
  <si>
    <t>Final Report</t>
  </si>
  <si>
    <t>Court Disposal</t>
  </si>
  <si>
    <t>History Sheets</t>
  </si>
  <si>
    <t>41 Crpc</t>
  </si>
  <si>
    <t>Forms per FIR</t>
  </si>
  <si>
    <t>CHITTOOR DISTRICT CEIR PS WISE TRACIBILITY, RECOVERIES, ACCURACY SCORE , VOLUME SCORE , FINAL SCORE FROM 01-01-2025 TO TILL DATE (DOT - NEW GUIDELINES)</t>
  </si>
  <si>
    <t>Total Block Requests Received</t>
  </si>
  <si>
    <t>Blocked Requests (as on report generation date)</t>
  </si>
  <si>
    <t>Unblocked Requests (as on report generation date)</t>
  </si>
  <si>
    <t>Total Traceability Generated (as on report generation date)</t>
  </si>
  <si>
    <t>Unrecovered Traceability Available (as on report generation date)</t>
  </si>
  <si>
    <t>Recovered handsets</t>
  </si>
  <si>
    <t>Accuracy score 
(as per recovery %)
Accuracy score = (Total Recovered handsets by PS so far x 100)/Totaltraceability generated so far
(* so far means cumulative figure at the time of computing the score)</t>
  </si>
  <si>
    <t>Volume Score (as per no. of handsets recovered)
Volume score = ((Total Recovered handsets so far by PS – Minimum No. of handsets recovered by any PS so far in the District) x 100)/ (Maximum No.of handsets recovered by any PS so far in the DIstrict – Minimum No. ofhandsets recovered by any PS so far in the DIstrict)</t>
  </si>
  <si>
    <t>Final Score 70: 30
Final score = Accuracy score * 0.7 + Volume score*0.3</t>
  </si>
  <si>
    <t>CCS CHITTOOR</t>
  </si>
  <si>
    <t>NR PETA PS</t>
  </si>
  <si>
    <t>VEDURUKUPPAM PS</t>
  </si>
  <si>
    <t>THAVANAMPALLE PS</t>
  </si>
  <si>
    <t>GUDUPALLI PS</t>
  </si>
  <si>
    <t>BANGARUPALEM URBAN PS</t>
  </si>
  <si>
    <t>GD NELLORE PS</t>
  </si>
  <si>
    <t>KANIPAKAM PS</t>
  </si>
  <si>
    <t>CHITTOOR 1 TOWN  PS</t>
  </si>
  <si>
    <t>PENUMUR PS</t>
  </si>
  <si>
    <t>ROMPICHERLA PS</t>
  </si>
  <si>
    <t>YADAMARI PS</t>
  </si>
  <si>
    <t>BAIREDDYPALLI PS</t>
  </si>
  <si>
    <t>PALAMANER URBAN PS</t>
  </si>
  <si>
    <t>CHITTOOR 2 TOWN PS</t>
  </si>
  <si>
    <t>GUDIPALA PS</t>
  </si>
  <si>
    <t>IRALA PS</t>
  </si>
  <si>
    <t>KUPPAM URBAN PS</t>
  </si>
  <si>
    <t>CHITTOOR TALUK PS</t>
  </si>
  <si>
    <t>K.NAGAR PS</t>
  </si>
  <si>
    <t>NAGARI URBAN PS</t>
  </si>
  <si>
    <t>V.KOTA URBAN PS</t>
  </si>
  <si>
    <t>SR PURAM PS</t>
  </si>
  <si>
    <t>PALASAMUDRAM PS</t>
  </si>
  <si>
    <t>NINDRA PS</t>
  </si>
  <si>
    <t>VIJAYAPURAM PS</t>
  </si>
  <si>
    <t>KALLUR PS</t>
  </si>
  <si>
    <t>GANGAVARAM PS</t>
  </si>
  <si>
    <t>RALLABUDUGUR PS</t>
  </si>
  <si>
    <t>PANJANI PS</t>
  </si>
  <si>
    <t>PUTHALAPATTU PS</t>
  </si>
  <si>
    <t>RAMAKUPPAM PS</t>
  </si>
  <si>
    <t>Police Station</t>
  </si>
  <si>
    <t>Total Cr.Nos to be updated</t>
  </si>
  <si>
    <t>CD
 Part 1</t>
  </si>
  <si>
    <t>CD 
Part 2</t>
  </si>
  <si>
    <t>41
 Crpc</t>
  </si>
  <si>
    <t>PT Warrants</t>
  </si>
  <si>
    <t>Charge Sheet</t>
  </si>
  <si>
    <t>CCD</t>
  </si>
  <si>
    <t xml:space="preserve">TOTAL
Pending </t>
  </si>
  <si>
    <t>S.NO
(A)</t>
  </si>
  <si>
    <t>PS NAME
(B)</t>
  </si>
  <si>
    <t>TOTAL 
FIRS
( C )</t>
  </si>
  <si>
    <t>TOTAL SIDs
CREATED
( D )</t>
  </si>
  <si>
    <t>UI</t>
  </si>
  <si>
    <t>DISPOSED</t>
  </si>
  <si>
    <t>E SAKSHYA COMPLIANCE %
(F+I)*100/C</t>
  </si>
  <si>
    <t>TOTAL
UI CASES
( E)</t>
  </si>
  <si>
    <t>FIRS HAVING SID (F )</t>
  </si>
  <si>
    <t>FIRS NOT 
HAVING  SID (G)</t>
  </si>
  <si>
    <t>TOTAL DISPOSED
CASES (H)</t>
  </si>
  <si>
    <t>FIRS HAVING SID (I)</t>
  </si>
  <si>
    <t>FIRS NOT 
HAVING  SID(J)</t>
  </si>
  <si>
    <t>Grand Total</t>
  </si>
  <si>
    <t>S.NO</t>
  </si>
  <si>
    <t>Total FIRs</t>
  </si>
  <si>
    <t>FIRs Completed Investigation Timeline</t>
  </si>
  <si>
    <t>CS/FR Filed -Within Timeline</t>
  </si>
  <si>
    <t>CS/FR Filed - Beyond Timeline</t>
  </si>
  <si>
    <t>CS/FR - Pending</t>
  </si>
  <si>
    <t>FIRs Within Investigation Timeline</t>
  </si>
  <si>
    <t>Total CS/FR Filed</t>
  </si>
  <si>
    <t>Investigation Disposal Rate (%)
(E+F+I*100)/C</t>
  </si>
  <si>
    <t>Investigation Compliance Rate (%)
(E*100/D)</t>
  </si>
  <si>
    <t>GUDIPALA</t>
  </si>
  <si>
    <t>G.D.NELLORE UPS</t>
  </si>
  <si>
    <t>GANGAVARAM UPS</t>
  </si>
  <si>
    <t>THAVANAMPALLE</t>
  </si>
  <si>
    <t>PALASAMUDRAM</t>
  </si>
  <si>
    <t>PALAMANER UPS</t>
  </si>
  <si>
    <t>S.R.PURAM</t>
  </si>
  <si>
    <t>V.KOTA UPS</t>
  </si>
  <si>
    <t>KUPPAM UPS</t>
  </si>
  <si>
    <t>PANJANI</t>
  </si>
  <si>
    <t>K. NAGAR</t>
  </si>
  <si>
    <t>BANGARUPALEM UPS</t>
  </si>
  <si>
    <t>VEDURUKUPPAM</t>
  </si>
  <si>
    <t>CHITTOOR I TOWN UPS</t>
  </si>
  <si>
    <t>PUTHALAPATTU UPS</t>
  </si>
  <si>
    <t>RALLABUDUGUR</t>
  </si>
  <si>
    <t>CHITTOOR II TOWN UPS</t>
  </si>
  <si>
    <t>NAGARI UPS</t>
  </si>
  <si>
    <t>KALLUR</t>
  </si>
  <si>
    <t>RAMAKUPPAM</t>
  </si>
  <si>
    <t>GUDIPALLI</t>
  </si>
  <si>
    <t>NARSINGARAYANIPET(N.R.PET)</t>
  </si>
  <si>
    <t>NINDRA</t>
  </si>
  <si>
    <t>PENUMUR</t>
  </si>
  <si>
    <t>VIJAYAPURAM</t>
  </si>
  <si>
    <t>BAIREDDYPALLE</t>
  </si>
  <si>
    <t>CCS CHITTOOR UPS</t>
  </si>
  <si>
    <t>CHITTOOR TRAFFIC UPS</t>
  </si>
  <si>
    <t>IRALA</t>
  </si>
  <si>
    <t>KANIPAKAM</t>
  </si>
  <si>
    <t>MAHILA UPS, CHITTOOR</t>
  </si>
  <si>
    <t>ROMPICHERLA</t>
  </si>
  <si>
    <t>YADAMARI</t>
  </si>
  <si>
    <t>Filters Used: State - ANDHRA PRADESH, District - CHITTOOR, PS - All, Date: 01-05-2025 to 02-06-2026</t>
  </si>
  <si>
    <t>Delivery Officer (Designation)</t>
  </si>
  <si>
    <t>Mobile</t>
  </si>
  <si>
    <t>Belt No.</t>
  </si>
  <si>
    <t>User Level (Location)</t>
  </si>
  <si>
    <t>Pending for Delivery</t>
  </si>
  <si>
    <t>Served (Compliance)</t>
  </si>
  <si>
    <t>M PARANDAMA NAIDU(Assistant Police Sub-Inspector (ASI))</t>
  </si>
  <si>
    <t>Police User (Mahila UPS, Chittoor)</t>
  </si>
  <si>
    <t>SM REKHA(Women Police Constable (WPC))</t>
  </si>
  <si>
    <t>Police User (Chittoor Taluk)</t>
  </si>
  <si>
    <t>K MURALI KRISHNA(Head Constable (HC))</t>
  </si>
  <si>
    <t>Police User (CHITTOOR TRAFFIC)</t>
  </si>
  <si>
    <t>K HEMAGIRI(Head Constable (HC))</t>
  </si>
  <si>
    <t>Police User (CHITTOOR II TOWN)</t>
  </si>
  <si>
    <t>P SAMRAJ(Head Constable (HC))</t>
  </si>
  <si>
    <t>HC</t>
  </si>
  <si>
    <t>Police User (BANGARUPALEM)</t>
  </si>
  <si>
    <t>G MURALI(Police Constable (PC))</t>
  </si>
  <si>
    <t>C RAMBABU(Head Constable (HC))</t>
  </si>
  <si>
    <t>Police User (YADAMARI)</t>
  </si>
  <si>
    <t>C Venkata Reddy(Police Constable (PC))</t>
  </si>
  <si>
    <t>Police User (PALAMANER)</t>
  </si>
  <si>
    <t>D ESWARAIAH(Sub Inspector (SI))</t>
  </si>
  <si>
    <t>A RAMAKRISHNA(Head Constable (HC))</t>
  </si>
  <si>
    <t>K VENUGOPAL(Assistant Police Sub-Inspector (ASI))</t>
  </si>
  <si>
    <t>Police User (IRALA)</t>
  </si>
  <si>
    <t>P Vijaya Naik(Sub Inspector (SI))</t>
  </si>
  <si>
    <t>Police User (NAGARI)</t>
  </si>
  <si>
    <t>M BALASUBRAMANAYAM(Head Constable (HC))</t>
  </si>
  <si>
    <t>Police User (Penumur)</t>
  </si>
  <si>
    <t>R MADHU KUMAR(Assistant Police Sub-Inspector (ASI))</t>
  </si>
  <si>
    <t>Police User (CHITTOOR I TOWN)</t>
  </si>
  <si>
    <t>R MURALIDHAR(Police Constable (PC))</t>
  </si>
  <si>
    <t>S RAZAK FAKRUDDIN(Assistant Police Sub-Inspector (ASI))</t>
  </si>
  <si>
    <t>T PATTABHI(Head Constable (HC))</t>
  </si>
  <si>
    <t>Police User (PALASAMUDRAM)</t>
  </si>
  <si>
    <t>T V SHIVA KUMAR(Head Constable (HC))</t>
  </si>
  <si>
    <t>Police User (K. Nagar)</t>
  </si>
  <si>
    <t>Y REDDAPPA(Head Constable (HC))</t>
  </si>
  <si>
    <t xml:space="preserve">
</t>
  </si>
  <si>
    <t>PS NAME</t>
  </si>
  <si>
    <t>Total requests generated from CCTNS</t>
  </si>
  <si>
    <t>MLC</t>
  </si>
  <si>
    <t>PMR</t>
  </si>
  <si>
    <t>Total MLCs Generated</t>
  </si>
  <si>
    <t>Total MLCs reached at MedLEaPR</t>
  </si>
  <si>
    <t>Total MLC reports received</t>
  </si>
  <si>
    <t>Total MLC reports Pending</t>
  </si>
  <si>
    <t>Total PMRs Generated</t>
  </si>
  <si>
    <t>Total PMRs reached at MedLEaPR</t>
  </si>
  <si>
    <t>Total PMR reports received</t>
  </si>
  <si>
    <t>Total PMR reports Pending</t>
  </si>
  <si>
    <t>Total Intimations (Rukka) received</t>
  </si>
  <si>
    <t>DIAL112 TABS WOKING INFORMATION  FROM 27-02-2026 TO 02-06-2026</t>
  </si>
  <si>
    <t>Total Tabs
 Config</t>
  </si>
  <si>
    <t>ERU Connected Live</t>
  </si>
  <si>
    <t>Dis-connected Tabs</t>
  </si>
  <si>
    <t>% of Disconnected Tabs</t>
  </si>
  <si>
    <t>TOTAL</t>
  </si>
  <si>
    <t>DIAL 100 CALLS AVERGAE RESPONSE TIME FOR WEEK FR0M 27-05-2026 TO 02-06-2026</t>
  </si>
  <si>
    <t>Total calls Assigned to Unit</t>
  </si>
  <si>
    <t>No. of Calls Assigned to Tabs by Unit</t>
  </si>
  <si>
    <t>No. of Calls not Assigned to Tabs by Unit</t>
  </si>
  <si>
    <t>Last one Week Average Response Time
(HH:MM:SS)</t>
  </si>
  <si>
    <t>-</t>
  </si>
  <si>
    <t>E OFFICE - FILE DISPOSAL TIME TAKEN REPORT (DESIGNATION WISE)</t>
  </si>
  <si>
    <t>Period :</t>
  </si>
  <si>
    <t>27/05/2026 to 02/06/2026</t>
  </si>
  <si>
    <t>Department :  HOM02-POLICE (SP CHITTOOR)</t>
  </si>
  <si>
    <t>S.No.</t>
  </si>
  <si>
    <t>Employee Name</t>
  </si>
  <si>
    <t>Section</t>
  </si>
  <si>
    <t>Opening Balance
(Inbox + Created)</t>
  </si>
  <si>
    <t>Opening Balance
(Parked Only)</t>
  </si>
  <si>
    <t>Files
Created</t>
  </si>
  <si>
    <t>Files
Received</t>
  </si>
  <si>
    <t>Files
 UnParked</t>
  </si>
  <si>
    <t>Files Disposed</t>
  </si>
  <si>
    <t>(A)
Forwarded/
Closed/Merged</t>
  </si>
  <si>
    <t>(B)
Parked</t>
  </si>
  <si>
    <t>C=(A+B)
Forwarded+Closed
+Merged
+Parked</t>
  </si>
  <si>
    <t>Average Response time (Days HH:MM:SS)</t>
  </si>
  <si>
    <t>MAREPPA</t>
  </si>
  <si>
    <t>6 days 00:34:16</t>
  </si>
  <si>
    <t>K MOHANREDDY</t>
  </si>
  <si>
    <t>4 days 14:03:32</t>
  </si>
  <si>
    <t>UMA MAHESWARA RAO</t>
  </si>
  <si>
    <t>CCS CTR</t>
  </si>
  <si>
    <t>4 days 00:58:59</t>
  </si>
  <si>
    <t>B.SREENIVASA RAO</t>
  </si>
  <si>
    <t>MAHILA PS</t>
  </si>
  <si>
    <t>3 days 23:38:40</t>
  </si>
  <si>
    <t>B.SOMA SEKHAR REDDY</t>
  </si>
  <si>
    <t>2 days 05:39:30</t>
  </si>
  <si>
    <t>T NARASIMHULU</t>
  </si>
  <si>
    <t>1 days 19:41:18</t>
  </si>
  <si>
    <t>I.NARESH</t>
  </si>
  <si>
    <t>1 days 19:41:02</t>
  </si>
  <si>
    <t>VENKATA MOHAN</t>
  </si>
  <si>
    <t>1 days 17:12:58</t>
  </si>
  <si>
    <t>RAMESH BABU</t>
  </si>
  <si>
    <t>THAVANAMPALLI PS</t>
  </si>
  <si>
    <t>1 days 13:08:27</t>
  </si>
  <si>
    <t>V ASHOK KUMAR</t>
  </si>
  <si>
    <t>CTR TALUK PS</t>
  </si>
  <si>
    <t>1 days 12:03:24</t>
  </si>
  <si>
    <t>M. RAM BHUPAL</t>
  </si>
  <si>
    <t>1 days 03:28:14</t>
  </si>
  <si>
    <t>B.PRASAD</t>
  </si>
  <si>
    <t>GD NELLORE UPS</t>
  </si>
  <si>
    <t>0 days 22:00:13</t>
  </si>
  <si>
    <t>V.Manikanteswara Reddy</t>
  </si>
  <si>
    <t>0 days 21:08:22</t>
  </si>
  <si>
    <t>NAVEEN BABU</t>
  </si>
  <si>
    <t>0 days 19:27:08</t>
  </si>
  <si>
    <t>D ESWARAIAH</t>
  </si>
  <si>
    <t>0 days 17:41:56</t>
  </si>
  <si>
    <t>O MALLIKARJUNA RAO</t>
  </si>
  <si>
    <t>0 days 17:40:57</t>
  </si>
  <si>
    <t>K.B.Chandanapriya</t>
  </si>
  <si>
    <t>0 days 16:37:25</t>
  </si>
  <si>
    <t>G NITHYABABU</t>
  </si>
  <si>
    <t>CTR TRAFFIC</t>
  </si>
  <si>
    <t>0 days 15:55:29</t>
  </si>
  <si>
    <t>K MADHUSOODAN</t>
  </si>
  <si>
    <t>0 days 11:29:43</t>
  </si>
  <si>
    <t>D.NETTIKANTAIAH</t>
  </si>
  <si>
    <t>CTR 2 TOWN</t>
  </si>
  <si>
    <t>0 days 09:44:41</t>
  </si>
  <si>
    <t>K.RAM MOHAN</t>
  </si>
  <si>
    <t>0 days 08:07:31</t>
  </si>
  <si>
    <t>P SREEKANTH</t>
  </si>
  <si>
    <t>0 days 07:20:48</t>
  </si>
  <si>
    <t>RAJA SEKHAR</t>
  </si>
  <si>
    <t>0 days 04:01:27</t>
  </si>
  <si>
    <t>D.GOPI</t>
  </si>
  <si>
    <t>0 days 03:44:08</t>
  </si>
  <si>
    <t>K.SIVA SANKARA</t>
  </si>
  <si>
    <t>CTR 1 TOWN UPS</t>
  </si>
  <si>
    <t>0 days 00:53:29</t>
  </si>
  <si>
    <t>D.SRINIVASULU</t>
  </si>
  <si>
    <t>0 days 00:19:50</t>
  </si>
  <si>
    <t>K.SREENIVASULU</t>
  </si>
  <si>
    <t>JAYASREE</t>
  </si>
  <si>
    <t>TEJASWINI</t>
  </si>
  <si>
    <t>MALLIKARJUNA</t>
  </si>
  <si>
    <t>V.SUMAN</t>
  </si>
  <si>
    <t>T.VENKATA SUBBAIAH</t>
  </si>
  <si>
    <t>U.VENKATESWARULU</t>
  </si>
  <si>
    <t>VACANT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</si>
</sst>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</font>
    <font>
      <b/>
      <sz val="16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1"/>
      <color rgb="FF000000"/>
      <name val="Times New Roman"/>
      <family val="1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4"/>
      <color rgb="FFFF0000"/>
      <name val="sans-serif"/>
    </font>
    <font>
      <b/>
      <sz val="12"/>
      <color indexed="30"/>
      <name val="Arial"/>
      <family val="2"/>
    </font>
    <font>
      <sz val="12"/>
      <color indexed="8"/>
      <name val="sans-serif"/>
    </font>
    <font>
      <b/>
      <sz val="11"/>
      <color indexed="8"/>
      <name val="sans-serif"/>
    </font>
    <font>
      <sz val="10"/>
      <color indexed="8"/>
      <name val="sans-serif"/>
    </font>
    <font>
      <sz val="10"/>
      <color rgb="FFFF0000"/>
      <name val="sans-serif"/>
    </font>
  </fonts>
  <fills count="2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7FCD6"/>
        <bgColor indexed="64"/>
      </patternFill>
    </fill>
    <fill>
      <patternFill patternType="solid">
        <fgColor rgb="FFE4D4F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4" fillId="0" borderId="0"/>
    <xf numFmtId="0" fontId="14" fillId="0" borderId="0"/>
    <xf numFmtId="0" fontId="14" fillId="0" borderId="0"/>
  </cellStyleXfs>
  <cellXfs count="22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2" fontId="7" fillId="11" borderId="1" xfId="0" applyNumberFormat="1" applyFont="1" applyFill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2" fontId="7" fillId="12" borderId="1" xfId="0" applyNumberFormat="1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2" fontId="10" fillId="1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1" fillId="14" borderId="4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 wrapText="1"/>
    </xf>
    <xf numFmtId="2" fontId="3" fillId="10" borderId="4" xfId="0" applyNumberFormat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center" vertical="center" wrapText="1"/>
    </xf>
    <xf numFmtId="2" fontId="12" fillId="11" borderId="4" xfId="0" applyNumberFormat="1" applyFont="1" applyFill="1" applyBorder="1" applyAlignment="1">
      <alignment horizontal="center" vertical="center" wrapText="1"/>
    </xf>
    <xf numFmtId="2" fontId="12" fillId="0" borderId="4" xfId="0" applyNumberFormat="1" applyFont="1" applyBorder="1" applyAlignment="1">
      <alignment horizontal="center" vertical="center" wrapText="1"/>
    </xf>
    <xf numFmtId="2" fontId="12" fillId="12" borderId="4" xfId="0" applyNumberFormat="1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2" fontId="3" fillId="13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 wrapText="1"/>
    </xf>
    <xf numFmtId="0" fontId="13" fillId="0" borderId="4" xfId="0" applyFont="1" applyBorder="1" applyAlignment="1">
      <alignment horizontal="center" vertical="center" wrapText="1"/>
    </xf>
    <xf numFmtId="2" fontId="13" fillId="11" borderId="4" xfId="0" applyNumberFormat="1" applyFont="1" applyFill="1" applyBorder="1" applyAlignment="1">
      <alignment horizontal="center" vertical="center" wrapText="1"/>
    </xf>
    <xf numFmtId="2" fontId="13" fillId="0" borderId="4" xfId="0" applyNumberFormat="1" applyFont="1" applyBorder="1" applyAlignment="1">
      <alignment horizontal="center" vertical="center" wrapText="1"/>
    </xf>
    <xf numFmtId="2" fontId="13" fillId="12" borderId="4" xfId="0" applyNumberFormat="1" applyFont="1" applyFill="1" applyBorder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/>
    </xf>
    <xf numFmtId="0" fontId="1" fillId="15" borderId="6" xfId="0" applyFont="1" applyFill="1" applyBorder="1" applyAlignment="1">
      <alignment horizontal="center" vertical="center"/>
    </xf>
    <xf numFmtId="0" fontId="1" fillId="15" borderId="4" xfId="0" applyFont="1" applyFill="1" applyBorder="1" applyAlignment="1">
      <alignment horizontal="center" vertical="center" wrapText="1"/>
    </xf>
    <xf numFmtId="2" fontId="1" fillId="15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5" fillId="16" borderId="7" xfId="1" applyFont="1" applyFill="1" applyBorder="1" applyAlignment="1">
      <alignment horizontal="center" vertical="center"/>
    </xf>
    <xf numFmtId="0" fontId="14" fillId="0" borderId="0" xfId="1"/>
    <xf numFmtId="0" fontId="1" fillId="15" borderId="7" xfId="1" applyFont="1" applyFill="1" applyBorder="1" applyAlignment="1">
      <alignment horizontal="center" vertical="center" wrapText="1"/>
    </xf>
    <xf numFmtId="0" fontId="1" fillId="15" borderId="7" xfId="1" applyFont="1" applyFill="1" applyBorder="1" applyAlignment="1">
      <alignment horizontal="left" vertical="center" wrapText="1"/>
    </xf>
    <xf numFmtId="2" fontId="1" fillId="15" borderId="7" xfId="1" applyNumberFormat="1" applyFont="1" applyFill="1" applyBorder="1" applyAlignment="1">
      <alignment horizontal="center" vertical="center" wrapText="1"/>
    </xf>
    <xf numFmtId="0" fontId="14" fillId="0" borderId="0" xfId="1" applyAlignment="1">
      <alignment wrapText="1"/>
    </xf>
    <xf numFmtId="0" fontId="14" fillId="0" borderId="7" xfId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14" fillId="0" borderId="7" xfId="2" applyBorder="1" applyAlignment="1">
      <alignment horizontal="center" vertical="center"/>
    </xf>
    <xf numFmtId="2" fontId="14" fillId="0" borderId="7" xfId="1" applyNumberFormat="1" applyBorder="1" applyAlignment="1">
      <alignment horizontal="center" vertical="center"/>
    </xf>
    <xf numFmtId="2" fontId="14" fillId="11" borderId="7" xfId="1" applyNumberFormat="1" applyFill="1" applyBorder="1" applyAlignment="1">
      <alignment horizontal="center" vertical="center"/>
    </xf>
    <xf numFmtId="0" fontId="14" fillId="0" borderId="0" xfId="1" applyAlignment="1">
      <alignment vertical="center"/>
    </xf>
    <xf numFmtId="2" fontId="14" fillId="12" borderId="7" xfId="1" applyNumberFormat="1" applyFill="1" applyBorder="1" applyAlignment="1">
      <alignment horizontal="center" vertical="center"/>
    </xf>
    <xf numFmtId="0" fontId="14" fillId="0" borderId="0" xfId="1" applyAlignment="1">
      <alignment horizontal="center"/>
    </xf>
    <xf numFmtId="0" fontId="14" fillId="0" borderId="0" xfId="3" applyAlignment="1">
      <alignment horizontal="left"/>
    </xf>
    <xf numFmtId="0" fontId="14" fillId="0" borderId="0" xfId="3" applyAlignment="1">
      <alignment horizontal="center"/>
    </xf>
    <xf numFmtId="2" fontId="14" fillId="0" borderId="0" xfId="3" applyNumberFormat="1" applyAlignment="1">
      <alignment horizontal="center"/>
    </xf>
    <xf numFmtId="0" fontId="14" fillId="0" borderId="0" xfId="1" applyAlignment="1">
      <alignment horizontal="left"/>
    </xf>
    <xf numFmtId="2" fontId="14" fillId="0" borderId="0" xfId="1" applyNumberFormat="1" applyAlignment="1">
      <alignment horizontal="center"/>
    </xf>
    <xf numFmtId="0" fontId="16" fillId="13" borderId="8" xfId="0" applyFont="1" applyFill="1" applyBorder="1" applyAlignment="1">
      <alignment horizontal="center" vertical="center" wrapText="1"/>
    </xf>
    <xf numFmtId="0" fontId="16" fillId="13" borderId="9" xfId="0" applyFont="1" applyFill="1" applyBorder="1" applyAlignment="1">
      <alignment horizontal="center" vertical="center" wrapText="1"/>
    </xf>
    <xf numFmtId="0" fontId="16" fillId="13" borderId="10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left" vertical="center" wrapText="1"/>
    </xf>
    <xf numFmtId="0" fontId="17" fillId="10" borderId="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 wrapText="1"/>
    </xf>
    <xf numFmtId="0" fontId="18" fillId="17" borderId="1" xfId="0" applyFont="1" applyFill="1" applyBorder="1" applyAlignment="1">
      <alignment horizontal="center" vertical="center" wrapText="1"/>
    </xf>
    <xf numFmtId="0" fontId="18" fillId="17" borderId="4" xfId="0" applyFont="1" applyFill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12" fillId="12" borderId="4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9" fillId="18" borderId="4" xfId="0" applyFont="1" applyFill="1" applyBorder="1" applyAlignment="1">
      <alignment horizontal="center" vertical="center"/>
    </xf>
    <xf numFmtId="0" fontId="20" fillId="18" borderId="4" xfId="0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2" fillId="1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2" fontId="1" fillId="11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10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1" fontId="23" fillId="9" borderId="1" xfId="0" applyNumberFormat="1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center" vertical="center"/>
    </xf>
    <xf numFmtId="2" fontId="3" fillId="11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2" fontId="3" fillId="1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1" fontId="24" fillId="18" borderId="1" xfId="0" applyNumberFormat="1" applyFont="1" applyFill="1" applyBorder="1" applyAlignment="1">
      <alignment horizontal="center" vertical="center"/>
    </xf>
    <xf numFmtId="0" fontId="24" fillId="18" borderId="1" xfId="0" applyFont="1" applyFill="1" applyBorder="1" applyAlignment="1">
      <alignment horizontal="center" vertical="center"/>
    </xf>
    <xf numFmtId="2" fontId="3" fillId="18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24" fillId="13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2" fontId="12" fillId="20" borderId="1" xfId="0" applyNumberFormat="1" applyFont="1" applyFill="1" applyBorder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/>
    </xf>
    <xf numFmtId="2" fontId="12" fillId="20" borderId="1" xfId="0" applyNumberFormat="1" applyFont="1" applyFill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2" fontId="12" fillId="5" borderId="1" xfId="0" applyNumberFormat="1" applyFont="1" applyFill="1" applyBorder="1" applyAlignment="1">
      <alignment horizontal="center" vertical="center"/>
    </xf>
    <xf numFmtId="2" fontId="12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12" fillId="0" borderId="1" xfId="0" applyNumberFormat="1" applyFont="1" applyBorder="1" applyAlignment="1">
      <alignment horizontal="center" vertical="center" wrapText="1"/>
    </xf>
    <xf numFmtId="9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0" fontId="12" fillId="0" borderId="1" xfId="0" applyNumberFormat="1" applyFont="1" applyBorder="1" applyAlignment="1">
      <alignment horizontal="center" vertical="center" wrapText="1"/>
    </xf>
    <xf numFmtId="10" fontId="12" fillId="0" borderId="0" xfId="0" applyNumberFormat="1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2" fontId="3" fillId="13" borderId="1" xfId="0" applyNumberFormat="1" applyFont="1" applyFill="1" applyBorder="1" applyAlignment="1">
      <alignment horizontal="center" vertical="center"/>
    </xf>
    <xf numFmtId="2" fontId="3" fillId="13" borderId="1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2" fontId="25" fillId="5" borderId="1" xfId="0" applyNumberFormat="1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27" fillId="9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24" fillId="13" borderId="1" xfId="0" applyFont="1" applyFill="1" applyBorder="1" applyAlignment="1">
      <alignment horizontal="center" vertical="center" wrapText="1"/>
    </xf>
    <xf numFmtId="0" fontId="28" fillId="1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20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0" fontId="29" fillId="21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2" fontId="30" fillId="0" borderId="1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2" fontId="25" fillId="9" borderId="1" xfId="0" applyNumberFormat="1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21" fontId="0" fillId="13" borderId="1" xfId="0" applyNumberFormat="1" applyFill="1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0" fontId="12" fillId="5" borderId="1" xfId="0" applyFont="1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21" fontId="0" fillId="5" borderId="1" xfId="0" applyNumberForma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0" fillId="18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21" fontId="1" fillId="18" borderId="1" xfId="0" applyNumberFormat="1" applyFont="1" applyFill="1" applyBorder="1" applyAlignment="1">
      <alignment horizontal="center" vertical="center"/>
    </xf>
    <xf numFmtId="0" fontId="32" fillId="22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0" fontId="35" fillId="23" borderId="1" xfId="0" applyFont="1" applyFill="1" applyBorder="1" applyAlignment="1">
      <alignment horizontal="center" vertical="center" wrapText="1"/>
    </xf>
    <xf numFmtId="0" fontId="35" fillId="23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left" vertical="center" wrapText="1"/>
    </xf>
    <xf numFmtId="0" fontId="37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center" vertical="center"/>
    </xf>
  </cellXfs>
  <cellStyles count="4">
    <cellStyle name="Normal" xfId="0" builtinId="0"/>
    <cellStyle name="Normal 2 2" xfId="2" xr:uid="{AFF67BFA-2D49-46CE-A194-C222B9041722}"/>
    <cellStyle name="Normal 3" xfId="3" xr:uid="{780F167D-BEE7-45E9-8539-D099F9B335D8}"/>
    <cellStyle name="Normal 8 2" xfId="1" xr:uid="{E2A35B27-6A0C-48CB-A5CC-137AD75601E2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E2691-ED4C-4046-807E-C3A5AD9FD6DF}">
  <sheetPr codeName="Sheet14">
    <tabColor rgb="FFFFFF00"/>
  </sheetPr>
  <dimension ref="A1:T40"/>
  <sheetViews>
    <sheetView showGridLines="0" zoomScale="85" zoomScaleNormal="85" workbookViewId="0">
      <pane ySplit="5" topLeftCell="A36" activePane="bottomLeft" state="frozen"/>
      <selection pane="bottomLeft" activeCell="A6" sqref="A6:P39"/>
    </sheetView>
  </sheetViews>
  <sheetFormatPr defaultRowHeight="14.4"/>
  <cols>
    <col min="1" max="1" width="5.77734375" customWidth="1"/>
    <col min="2" max="2" width="20.77734375" style="50" customWidth="1"/>
    <col min="3" max="3" width="12.21875" style="51" customWidth="1"/>
    <col min="4" max="4" width="18.77734375" style="51" customWidth="1"/>
    <col min="5" max="6" width="14.77734375" style="51" customWidth="1"/>
    <col min="7" max="7" width="13.6640625" style="51" customWidth="1"/>
    <col min="8" max="8" width="11.77734375" style="51" customWidth="1"/>
    <col min="9" max="11" width="14.77734375" style="51" customWidth="1"/>
    <col min="12" max="12" width="11.33203125" style="51" customWidth="1"/>
    <col min="13" max="13" width="11.21875" style="51" customWidth="1"/>
    <col min="14" max="14" width="8.77734375" style="51" customWidth="1"/>
    <col min="15" max="15" width="16.109375" style="51" customWidth="1"/>
    <col min="16" max="16" width="15.77734375" customWidth="1"/>
    <col min="17" max="20" width="0" style="51" hidden="1" customWidth="1"/>
  </cols>
  <sheetData>
    <row r="1" spans="1:20" s="3" customFormat="1" ht="30" customHeight="1">
      <c r="A1" s="1" t="str">
        <f ca="1">"CHITTOOR DISTRICT - 60 DAYS INVESTIGATION CASES REPORTED FROM  01-07-2024 " &amp;
" TO " &amp;
TEXT(TODAY()-1,"dd-mm-yyyy")</f>
        <v>CHITTOOR DISTRICT - 60 DAYS INVESTIGATION CASES REPORTED FROM  01-07-2024  TO 02-06-2026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</row>
    <row r="2" spans="1:20" s="3" customFormat="1" ht="30" customHeight="1">
      <c r="A2" s="4" t="s">
        <v>0</v>
      </c>
      <c r="B2" s="4" t="s">
        <v>1</v>
      </c>
      <c r="C2" s="5" t="s">
        <v>2</v>
      </c>
      <c r="D2" s="6" t="s">
        <v>3</v>
      </c>
      <c r="E2" s="6"/>
      <c r="F2" s="6"/>
      <c r="G2" s="6"/>
      <c r="H2" s="6"/>
      <c r="I2" s="7" t="s">
        <v>4</v>
      </c>
      <c r="J2" s="7"/>
      <c r="K2" s="7"/>
      <c r="L2" s="7"/>
      <c r="M2" s="8" t="s">
        <v>5</v>
      </c>
      <c r="N2" s="9" t="s">
        <v>6</v>
      </c>
      <c r="O2" s="10" t="s">
        <v>7</v>
      </c>
      <c r="P2" s="11" t="s">
        <v>8</v>
      </c>
      <c r="Q2" s="2"/>
      <c r="R2" s="2"/>
      <c r="S2" s="2"/>
      <c r="T2" s="2"/>
    </row>
    <row r="3" spans="1:20" s="16" customFormat="1" ht="48.6" customHeight="1">
      <c r="A3" s="12"/>
      <c r="B3" s="12"/>
      <c r="C3" s="5"/>
      <c r="D3" s="13" t="s">
        <v>9</v>
      </c>
      <c r="E3" s="13" t="s">
        <v>10</v>
      </c>
      <c r="F3" s="13" t="s">
        <v>11</v>
      </c>
      <c r="G3" s="13" t="s">
        <v>12</v>
      </c>
      <c r="H3" s="13" t="s">
        <v>13</v>
      </c>
      <c r="I3" s="14" t="s">
        <v>14</v>
      </c>
      <c r="J3" s="14" t="s">
        <v>15</v>
      </c>
      <c r="K3" s="14" t="s">
        <v>16</v>
      </c>
      <c r="L3" s="14" t="s">
        <v>17</v>
      </c>
      <c r="M3" s="8"/>
      <c r="N3" s="9"/>
      <c r="O3" s="10"/>
      <c r="P3" s="11"/>
      <c r="Q3" s="15"/>
      <c r="R3" s="15"/>
      <c r="S3" s="15"/>
      <c r="T3" s="15"/>
    </row>
    <row r="4" spans="1:20" s="2" customFormat="1" ht="19.95" customHeight="1">
      <c r="A4" s="17" t="s">
        <v>18</v>
      </c>
      <c r="B4" s="17" t="s">
        <v>19</v>
      </c>
      <c r="C4" s="18" t="s">
        <v>20</v>
      </c>
      <c r="D4" s="19" t="s">
        <v>21</v>
      </c>
      <c r="E4" s="19" t="s">
        <v>22</v>
      </c>
      <c r="F4" s="19" t="s">
        <v>23</v>
      </c>
      <c r="G4" s="19" t="s">
        <v>24</v>
      </c>
      <c r="H4" s="19" t="s">
        <v>25</v>
      </c>
      <c r="I4" s="20" t="s">
        <v>26</v>
      </c>
      <c r="J4" s="20" t="s">
        <v>27</v>
      </c>
      <c r="K4" s="20" t="s">
        <v>28</v>
      </c>
      <c r="L4" s="20" t="s">
        <v>29</v>
      </c>
      <c r="M4" s="21" t="s">
        <v>30</v>
      </c>
      <c r="N4" s="22" t="s">
        <v>31</v>
      </c>
      <c r="O4" s="23" t="s">
        <v>32</v>
      </c>
      <c r="P4" s="24" t="s">
        <v>33</v>
      </c>
    </row>
    <row r="5" spans="1:20" s="15" customFormat="1" ht="19.95" customHeight="1">
      <c r="A5" s="25"/>
      <c r="B5" s="25"/>
      <c r="C5" s="26" t="s">
        <v>34</v>
      </c>
      <c r="D5" s="27" t="s">
        <v>35</v>
      </c>
      <c r="E5" s="27"/>
      <c r="F5" s="27"/>
      <c r="G5" s="27"/>
      <c r="H5" s="27"/>
      <c r="I5" s="28" t="s">
        <v>36</v>
      </c>
      <c r="J5" s="28"/>
      <c r="K5" s="28"/>
      <c r="L5" s="28"/>
      <c r="M5" s="21" t="s">
        <v>37</v>
      </c>
      <c r="N5" s="22" t="s">
        <v>38</v>
      </c>
      <c r="O5" s="29" t="s">
        <v>39</v>
      </c>
      <c r="P5" s="30" t="s">
        <v>40</v>
      </c>
    </row>
    <row r="6" spans="1:20" s="40" customFormat="1" ht="28.05" customHeight="1">
      <c r="A6" s="31">
        <v>1</v>
      </c>
      <c r="B6" s="32" t="s">
        <v>41</v>
      </c>
      <c r="C6" s="33">
        <v>101</v>
      </c>
      <c r="D6" s="34">
        <v>97</v>
      </c>
      <c r="E6" s="33">
        <v>87</v>
      </c>
      <c r="F6" s="33">
        <v>8</v>
      </c>
      <c r="G6" s="33">
        <v>0</v>
      </c>
      <c r="H6" s="31">
        <v>2</v>
      </c>
      <c r="I6" s="35">
        <v>4</v>
      </c>
      <c r="J6" s="31">
        <v>2</v>
      </c>
      <c r="K6" s="31">
        <v>0</v>
      </c>
      <c r="L6" s="31">
        <v>2</v>
      </c>
      <c r="M6" s="31">
        <v>97</v>
      </c>
      <c r="N6" s="31">
        <v>4</v>
      </c>
      <c r="O6" s="36">
        <v>89.898989898989896</v>
      </c>
      <c r="P6" s="37">
        <v>96.039603960396036</v>
      </c>
      <c r="Q6" s="38">
        <f>IFERROR((E6+J6)*100/(D6+J6),0)</f>
        <v>89.898989898989896</v>
      </c>
      <c r="R6" s="38">
        <f>IFERROR(M6*100/C6,0)</f>
        <v>96.039603960396036</v>
      </c>
      <c r="S6" s="39" t="b">
        <f>O6=Q6</f>
        <v>1</v>
      </c>
      <c r="T6" s="39" t="b">
        <f>P6=R6</f>
        <v>1</v>
      </c>
    </row>
    <row r="7" spans="1:20" s="40" customFormat="1" ht="28.05" customHeight="1">
      <c r="A7" s="31">
        <v>2</v>
      </c>
      <c r="B7" s="32" t="s">
        <v>42</v>
      </c>
      <c r="C7" s="33">
        <v>95</v>
      </c>
      <c r="D7" s="34">
        <v>85</v>
      </c>
      <c r="E7" s="33">
        <v>67</v>
      </c>
      <c r="F7" s="33">
        <v>15</v>
      </c>
      <c r="G7" s="33">
        <v>0</v>
      </c>
      <c r="H7" s="31">
        <v>3</v>
      </c>
      <c r="I7" s="35">
        <v>10</v>
      </c>
      <c r="J7" s="31">
        <v>5</v>
      </c>
      <c r="K7" s="31">
        <v>0</v>
      </c>
      <c r="L7" s="31">
        <v>5</v>
      </c>
      <c r="M7" s="31">
        <v>87</v>
      </c>
      <c r="N7" s="31">
        <v>8</v>
      </c>
      <c r="O7" s="36">
        <v>80</v>
      </c>
      <c r="P7" s="37">
        <v>91.578947368421055</v>
      </c>
      <c r="Q7" s="38">
        <f t="shared" ref="Q7:Q39" si="0">IFERROR((E7+J7)*100/(D7+J7),0)</f>
        <v>80</v>
      </c>
      <c r="R7" s="38">
        <f t="shared" ref="R7:R39" si="1">IFERROR(M7*100/C7,0)</f>
        <v>91.578947368421055</v>
      </c>
      <c r="S7" s="39" t="b">
        <f t="shared" ref="S7:T39" si="2">O7=Q7</f>
        <v>1</v>
      </c>
      <c r="T7" s="39" t="b">
        <f t="shared" si="2"/>
        <v>1</v>
      </c>
    </row>
    <row r="8" spans="1:20" s="40" customFormat="1" ht="28.05" customHeight="1">
      <c r="A8" s="31">
        <v>3</v>
      </c>
      <c r="B8" s="32" t="s">
        <v>43</v>
      </c>
      <c r="C8" s="33">
        <v>335</v>
      </c>
      <c r="D8" s="34">
        <v>306</v>
      </c>
      <c r="E8" s="33">
        <v>239</v>
      </c>
      <c r="F8" s="33">
        <v>37</v>
      </c>
      <c r="G8" s="33">
        <v>0</v>
      </c>
      <c r="H8" s="31">
        <v>30</v>
      </c>
      <c r="I8" s="35">
        <v>29</v>
      </c>
      <c r="J8" s="31">
        <v>6</v>
      </c>
      <c r="K8" s="31">
        <v>0</v>
      </c>
      <c r="L8" s="31">
        <v>23</v>
      </c>
      <c r="M8" s="31">
        <v>282</v>
      </c>
      <c r="N8" s="31">
        <v>53</v>
      </c>
      <c r="O8" s="36">
        <v>78.525641025641022</v>
      </c>
      <c r="P8" s="37">
        <v>84.179104477611943</v>
      </c>
      <c r="Q8" s="38">
        <f t="shared" si="0"/>
        <v>78.525641025641022</v>
      </c>
      <c r="R8" s="38">
        <f t="shared" si="1"/>
        <v>84.179104477611943</v>
      </c>
      <c r="S8" s="39" t="b">
        <f t="shared" si="2"/>
        <v>1</v>
      </c>
      <c r="T8" s="39" t="b">
        <f t="shared" si="2"/>
        <v>1</v>
      </c>
    </row>
    <row r="9" spans="1:20" s="40" customFormat="1" ht="28.05" customHeight="1">
      <c r="A9" s="31">
        <v>4</v>
      </c>
      <c r="B9" s="32" t="s">
        <v>44</v>
      </c>
      <c r="C9" s="33">
        <v>187</v>
      </c>
      <c r="D9" s="34">
        <v>177</v>
      </c>
      <c r="E9" s="33">
        <v>133</v>
      </c>
      <c r="F9" s="33">
        <v>30</v>
      </c>
      <c r="G9" s="33">
        <v>0</v>
      </c>
      <c r="H9" s="31">
        <v>14</v>
      </c>
      <c r="I9" s="35">
        <v>10</v>
      </c>
      <c r="J9" s="31">
        <v>5</v>
      </c>
      <c r="K9" s="31">
        <v>0</v>
      </c>
      <c r="L9" s="31">
        <v>5</v>
      </c>
      <c r="M9" s="31">
        <v>168</v>
      </c>
      <c r="N9" s="31">
        <v>19</v>
      </c>
      <c r="O9" s="36">
        <v>75.824175824175825</v>
      </c>
      <c r="P9" s="37">
        <v>89.839572192513373</v>
      </c>
      <c r="Q9" s="38">
        <f t="shared" si="0"/>
        <v>75.824175824175825</v>
      </c>
      <c r="R9" s="38">
        <f t="shared" si="1"/>
        <v>89.839572192513373</v>
      </c>
      <c r="S9" s="39" t="b">
        <f t="shared" si="2"/>
        <v>1</v>
      </c>
      <c r="T9" s="39" t="b">
        <f t="shared" si="2"/>
        <v>1</v>
      </c>
    </row>
    <row r="10" spans="1:20" s="40" customFormat="1" ht="28.05" customHeight="1">
      <c r="A10" s="31">
        <v>5</v>
      </c>
      <c r="B10" s="32" t="s">
        <v>45</v>
      </c>
      <c r="C10" s="33">
        <v>87</v>
      </c>
      <c r="D10" s="34">
        <v>76</v>
      </c>
      <c r="E10" s="33">
        <v>55</v>
      </c>
      <c r="F10" s="33">
        <v>19</v>
      </c>
      <c r="G10" s="33">
        <v>0</v>
      </c>
      <c r="H10" s="31">
        <v>2</v>
      </c>
      <c r="I10" s="35">
        <v>11</v>
      </c>
      <c r="J10" s="31">
        <v>1</v>
      </c>
      <c r="K10" s="31">
        <v>0</v>
      </c>
      <c r="L10" s="31">
        <v>10</v>
      </c>
      <c r="M10" s="31">
        <v>75</v>
      </c>
      <c r="N10" s="31">
        <v>12</v>
      </c>
      <c r="O10" s="36">
        <v>72.727272727272734</v>
      </c>
      <c r="P10" s="37">
        <v>86.206896551724142</v>
      </c>
      <c r="Q10" s="38">
        <f t="shared" si="0"/>
        <v>72.727272727272734</v>
      </c>
      <c r="R10" s="38">
        <f t="shared" si="1"/>
        <v>86.206896551724142</v>
      </c>
      <c r="S10" s="39" t="b">
        <f t="shared" si="2"/>
        <v>1</v>
      </c>
      <c r="T10" s="39" t="b">
        <f t="shared" si="2"/>
        <v>1</v>
      </c>
    </row>
    <row r="11" spans="1:20" s="40" customFormat="1" ht="28.05" customHeight="1">
      <c r="A11" s="31">
        <v>6</v>
      </c>
      <c r="B11" s="32" t="s">
        <v>46</v>
      </c>
      <c r="C11" s="33">
        <v>51</v>
      </c>
      <c r="D11" s="34">
        <v>46</v>
      </c>
      <c r="E11" s="33">
        <v>33</v>
      </c>
      <c r="F11" s="33">
        <v>6</v>
      </c>
      <c r="G11" s="33">
        <v>0</v>
      </c>
      <c r="H11" s="31">
        <v>7</v>
      </c>
      <c r="I11" s="35">
        <v>5</v>
      </c>
      <c r="J11" s="31">
        <v>1</v>
      </c>
      <c r="K11" s="31">
        <v>0</v>
      </c>
      <c r="L11" s="31">
        <v>4</v>
      </c>
      <c r="M11" s="31">
        <v>40</v>
      </c>
      <c r="N11" s="31">
        <v>11</v>
      </c>
      <c r="O11" s="37">
        <v>72.340425531914889</v>
      </c>
      <c r="P11" s="37">
        <v>78.431372549019613</v>
      </c>
      <c r="Q11" s="38">
        <f t="shared" si="0"/>
        <v>72.340425531914889</v>
      </c>
      <c r="R11" s="38">
        <f t="shared" si="1"/>
        <v>78.431372549019613</v>
      </c>
      <c r="S11" s="39" t="b">
        <f t="shared" si="2"/>
        <v>1</v>
      </c>
      <c r="T11" s="39" t="b">
        <f t="shared" si="2"/>
        <v>1</v>
      </c>
    </row>
    <row r="12" spans="1:20" s="40" customFormat="1" ht="28.05" customHeight="1">
      <c r="A12" s="31">
        <v>7</v>
      </c>
      <c r="B12" s="32" t="s">
        <v>47</v>
      </c>
      <c r="C12" s="31">
        <v>252</v>
      </c>
      <c r="D12" s="35">
        <v>229</v>
      </c>
      <c r="E12" s="31">
        <v>160</v>
      </c>
      <c r="F12" s="31">
        <v>56</v>
      </c>
      <c r="G12" s="31">
        <v>2</v>
      </c>
      <c r="H12" s="31">
        <v>11</v>
      </c>
      <c r="I12" s="35">
        <v>23</v>
      </c>
      <c r="J12" s="31">
        <v>15</v>
      </c>
      <c r="K12" s="31">
        <v>0</v>
      </c>
      <c r="L12" s="31">
        <v>8</v>
      </c>
      <c r="M12" s="31">
        <v>233</v>
      </c>
      <c r="N12" s="31">
        <v>19</v>
      </c>
      <c r="O12" s="37">
        <v>71.721311475409834</v>
      </c>
      <c r="P12" s="37">
        <v>92.460317460317455</v>
      </c>
      <c r="Q12" s="38">
        <f t="shared" si="0"/>
        <v>71.721311475409834</v>
      </c>
      <c r="R12" s="38">
        <f t="shared" si="1"/>
        <v>92.460317460317455</v>
      </c>
      <c r="S12" s="39" t="b">
        <f t="shared" si="2"/>
        <v>1</v>
      </c>
      <c r="T12" s="39" t="b">
        <f t="shared" si="2"/>
        <v>1</v>
      </c>
    </row>
    <row r="13" spans="1:20" s="40" customFormat="1" ht="28.05" customHeight="1">
      <c r="A13" s="31">
        <v>8</v>
      </c>
      <c r="B13" s="32" t="s">
        <v>48</v>
      </c>
      <c r="C13" s="31">
        <v>92</v>
      </c>
      <c r="D13" s="35">
        <v>90</v>
      </c>
      <c r="E13" s="31">
        <v>64</v>
      </c>
      <c r="F13" s="31">
        <v>22</v>
      </c>
      <c r="G13" s="31">
        <v>0</v>
      </c>
      <c r="H13" s="31">
        <v>4</v>
      </c>
      <c r="I13" s="35">
        <v>2</v>
      </c>
      <c r="J13" s="31">
        <v>1</v>
      </c>
      <c r="K13" s="31">
        <v>0</v>
      </c>
      <c r="L13" s="31">
        <v>1</v>
      </c>
      <c r="M13" s="31">
        <v>87</v>
      </c>
      <c r="N13" s="31">
        <v>5</v>
      </c>
      <c r="O13" s="37">
        <v>71.428571428571431</v>
      </c>
      <c r="P13" s="37">
        <v>94.565217391304344</v>
      </c>
      <c r="Q13" s="38">
        <f t="shared" si="0"/>
        <v>71.428571428571431</v>
      </c>
      <c r="R13" s="38">
        <f t="shared" si="1"/>
        <v>94.565217391304344</v>
      </c>
      <c r="S13" s="39" t="b">
        <f t="shared" si="2"/>
        <v>1</v>
      </c>
      <c r="T13" s="39" t="b">
        <f t="shared" si="2"/>
        <v>1</v>
      </c>
    </row>
    <row r="14" spans="1:20" s="40" customFormat="1" ht="28.05" customHeight="1">
      <c r="A14" s="31">
        <v>9</v>
      </c>
      <c r="B14" s="32" t="s">
        <v>49</v>
      </c>
      <c r="C14" s="31">
        <v>269</v>
      </c>
      <c r="D14" s="35">
        <v>251</v>
      </c>
      <c r="E14" s="31">
        <v>176</v>
      </c>
      <c r="F14" s="31">
        <v>65</v>
      </c>
      <c r="G14" s="31">
        <v>0</v>
      </c>
      <c r="H14" s="31">
        <v>10</v>
      </c>
      <c r="I14" s="35">
        <v>18</v>
      </c>
      <c r="J14" s="31">
        <v>6</v>
      </c>
      <c r="K14" s="31">
        <v>0</v>
      </c>
      <c r="L14" s="31">
        <v>12</v>
      </c>
      <c r="M14" s="31">
        <v>247</v>
      </c>
      <c r="N14" s="31">
        <v>22</v>
      </c>
      <c r="O14" s="37">
        <v>70.817120622568098</v>
      </c>
      <c r="P14" s="37">
        <v>91.821561338289968</v>
      </c>
      <c r="Q14" s="38">
        <f t="shared" si="0"/>
        <v>70.817120622568098</v>
      </c>
      <c r="R14" s="38">
        <f t="shared" si="1"/>
        <v>91.821561338289968</v>
      </c>
      <c r="S14" s="39" t="b">
        <f t="shared" si="2"/>
        <v>1</v>
      </c>
      <c r="T14" s="39" t="b">
        <f t="shared" si="2"/>
        <v>1</v>
      </c>
    </row>
    <row r="15" spans="1:20" s="40" customFormat="1" ht="28.05" customHeight="1">
      <c r="A15" s="31">
        <v>10</v>
      </c>
      <c r="B15" s="32" t="s">
        <v>50</v>
      </c>
      <c r="C15" s="33">
        <v>132</v>
      </c>
      <c r="D15" s="34">
        <v>119</v>
      </c>
      <c r="E15" s="33">
        <v>83</v>
      </c>
      <c r="F15" s="33">
        <v>25</v>
      </c>
      <c r="G15" s="33">
        <v>0</v>
      </c>
      <c r="H15" s="31">
        <v>11</v>
      </c>
      <c r="I15" s="35">
        <v>13</v>
      </c>
      <c r="J15" s="31">
        <v>3</v>
      </c>
      <c r="K15" s="31">
        <v>0</v>
      </c>
      <c r="L15" s="31">
        <v>10</v>
      </c>
      <c r="M15" s="31">
        <v>111</v>
      </c>
      <c r="N15" s="31">
        <v>21</v>
      </c>
      <c r="O15" s="37">
        <v>70.491803278688522</v>
      </c>
      <c r="P15" s="37">
        <v>84.090909090909093</v>
      </c>
      <c r="Q15" s="38">
        <f t="shared" si="0"/>
        <v>70.491803278688522</v>
      </c>
      <c r="R15" s="38">
        <f t="shared" si="1"/>
        <v>84.090909090909093</v>
      </c>
      <c r="S15" s="39" t="b">
        <f t="shared" si="2"/>
        <v>1</v>
      </c>
      <c r="T15" s="39" t="b">
        <f t="shared" si="2"/>
        <v>1</v>
      </c>
    </row>
    <row r="16" spans="1:20" s="40" customFormat="1" ht="28.05" customHeight="1">
      <c r="A16" s="31">
        <v>11</v>
      </c>
      <c r="B16" s="32" t="s">
        <v>51</v>
      </c>
      <c r="C16" s="31">
        <v>148</v>
      </c>
      <c r="D16" s="35">
        <v>135</v>
      </c>
      <c r="E16" s="31">
        <v>92</v>
      </c>
      <c r="F16" s="31">
        <v>36</v>
      </c>
      <c r="G16" s="31">
        <v>0</v>
      </c>
      <c r="H16" s="31">
        <v>7</v>
      </c>
      <c r="I16" s="35">
        <v>13</v>
      </c>
      <c r="J16" s="31">
        <v>3</v>
      </c>
      <c r="K16" s="31">
        <v>0</v>
      </c>
      <c r="L16" s="31">
        <v>10</v>
      </c>
      <c r="M16" s="31">
        <v>131</v>
      </c>
      <c r="N16" s="31">
        <v>17</v>
      </c>
      <c r="O16" s="37">
        <v>68.840579710144922</v>
      </c>
      <c r="P16" s="37">
        <v>88.513513513513516</v>
      </c>
      <c r="Q16" s="38">
        <f t="shared" si="0"/>
        <v>68.840579710144922</v>
      </c>
      <c r="R16" s="38">
        <f t="shared" si="1"/>
        <v>88.513513513513516</v>
      </c>
      <c r="S16" s="39" t="b">
        <f t="shared" si="2"/>
        <v>1</v>
      </c>
      <c r="T16" s="39" t="b">
        <f t="shared" si="2"/>
        <v>1</v>
      </c>
    </row>
    <row r="17" spans="1:20" s="40" customFormat="1" ht="28.05" customHeight="1">
      <c r="A17" s="31">
        <v>12</v>
      </c>
      <c r="B17" s="32" t="s">
        <v>52</v>
      </c>
      <c r="C17" s="31">
        <v>124</v>
      </c>
      <c r="D17" s="35">
        <v>110</v>
      </c>
      <c r="E17" s="31">
        <v>75</v>
      </c>
      <c r="F17" s="31">
        <v>31</v>
      </c>
      <c r="G17" s="31">
        <v>0</v>
      </c>
      <c r="H17" s="31">
        <v>4</v>
      </c>
      <c r="I17" s="35">
        <v>14</v>
      </c>
      <c r="J17" s="31">
        <v>1</v>
      </c>
      <c r="K17" s="31">
        <v>0</v>
      </c>
      <c r="L17" s="31">
        <v>13</v>
      </c>
      <c r="M17" s="31">
        <v>107</v>
      </c>
      <c r="N17" s="31">
        <v>17</v>
      </c>
      <c r="O17" s="37">
        <v>68.468468468468473</v>
      </c>
      <c r="P17" s="37">
        <v>86.290322580645167</v>
      </c>
      <c r="Q17" s="38">
        <f t="shared" si="0"/>
        <v>68.468468468468473</v>
      </c>
      <c r="R17" s="38">
        <f t="shared" si="1"/>
        <v>86.290322580645167</v>
      </c>
      <c r="S17" s="39" t="b">
        <f t="shared" si="2"/>
        <v>1</v>
      </c>
      <c r="T17" s="39" t="b">
        <f t="shared" si="2"/>
        <v>1</v>
      </c>
    </row>
    <row r="18" spans="1:20" s="40" customFormat="1" ht="28.05" customHeight="1">
      <c r="A18" s="31">
        <v>13</v>
      </c>
      <c r="B18" s="32" t="s">
        <v>53</v>
      </c>
      <c r="C18" s="31">
        <v>118</v>
      </c>
      <c r="D18" s="35">
        <v>107</v>
      </c>
      <c r="E18" s="31">
        <v>71</v>
      </c>
      <c r="F18" s="31">
        <v>31</v>
      </c>
      <c r="G18" s="31">
        <v>0</v>
      </c>
      <c r="H18" s="31">
        <v>5</v>
      </c>
      <c r="I18" s="35">
        <v>11</v>
      </c>
      <c r="J18" s="31">
        <v>0</v>
      </c>
      <c r="K18" s="31">
        <v>0</v>
      </c>
      <c r="L18" s="31">
        <v>11</v>
      </c>
      <c r="M18" s="31">
        <v>102</v>
      </c>
      <c r="N18" s="31">
        <v>16</v>
      </c>
      <c r="O18" s="37">
        <v>66.355140186915889</v>
      </c>
      <c r="P18" s="37">
        <v>86.440677966101688</v>
      </c>
      <c r="Q18" s="38">
        <f t="shared" si="0"/>
        <v>66.355140186915889</v>
      </c>
      <c r="R18" s="38">
        <f t="shared" si="1"/>
        <v>86.440677966101688</v>
      </c>
      <c r="S18" s="39" t="b">
        <f t="shared" si="2"/>
        <v>1</v>
      </c>
      <c r="T18" s="39" t="b">
        <f t="shared" si="2"/>
        <v>1</v>
      </c>
    </row>
    <row r="19" spans="1:20" s="40" customFormat="1" ht="28.05" customHeight="1">
      <c r="A19" s="31">
        <v>14</v>
      </c>
      <c r="B19" s="32" t="s">
        <v>54</v>
      </c>
      <c r="C19" s="31">
        <v>161</v>
      </c>
      <c r="D19" s="35">
        <v>151</v>
      </c>
      <c r="E19" s="31">
        <v>99</v>
      </c>
      <c r="F19" s="31">
        <v>47</v>
      </c>
      <c r="G19" s="31">
        <v>0</v>
      </c>
      <c r="H19" s="31">
        <v>5</v>
      </c>
      <c r="I19" s="35">
        <v>10</v>
      </c>
      <c r="J19" s="31">
        <v>0</v>
      </c>
      <c r="K19" s="31">
        <v>0</v>
      </c>
      <c r="L19" s="31">
        <v>10</v>
      </c>
      <c r="M19" s="31">
        <v>146</v>
      </c>
      <c r="N19" s="31">
        <v>15</v>
      </c>
      <c r="O19" s="37">
        <v>65.562913907284766</v>
      </c>
      <c r="P19" s="37">
        <v>90.683229813664596</v>
      </c>
      <c r="Q19" s="38">
        <f t="shared" si="0"/>
        <v>65.562913907284766</v>
      </c>
      <c r="R19" s="38">
        <f t="shared" si="1"/>
        <v>90.683229813664596</v>
      </c>
      <c r="S19" s="39" t="b">
        <f t="shared" si="2"/>
        <v>1</v>
      </c>
      <c r="T19" s="39" t="b">
        <f t="shared" si="2"/>
        <v>1</v>
      </c>
    </row>
    <row r="20" spans="1:20" s="40" customFormat="1" ht="28.05" customHeight="1">
      <c r="A20" s="31">
        <v>15</v>
      </c>
      <c r="B20" s="32" t="s">
        <v>55</v>
      </c>
      <c r="C20" s="31">
        <v>86</v>
      </c>
      <c r="D20" s="35">
        <v>81</v>
      </c>
      <c r="E20" s="31">
        <v>51</v>
      </c>
      <c r="F20" s="31">
        <v>22</v>
      </c>
      <c r="G20" s="31">
        <v>0</v>
      </c>
      <c r="H20" s="31">
        <v>8</v>
      </c>
      <c r="I20" s="35">
        <v>5</v>
      </c>
      <c r="J20" s="31">
        <v>0</v>
      </c>
      <c r="K20" s="31">
        <v>0</v>
      </c>
      <c r="L20" s="31">
        <v>5</v>
      </c>
      <c r="M20" s="31">
        <v>73</v>
      </c>
      <c r="N20" s="31">
        <v>13</v>
      </c>
      <c r="O20" s="37">
        <v>62.962962962962962</v>
      </c>
      <c r="P20" s="37">
        <v>84.883720930232556</v>
      </c>
      <c r="Q20" s="38">
        <f t="shared" si="0"/>
        <v>62.962962962962962</v>
      </c>
      <c r="R20" s="38">
        <f t="shared" si="1"/>
        <v>84.883720930232556</v>
      </c>
      <c r="S20" s="39" t="b">
        <f t="shared" si="2"/>
        <v>1</v>
      </c>
      <c r="T20" s="39" t="b">
        <f t="shared" si="2"/>
        <v>1</v>
      </c>
    </row>
    <row r="21" spans="1:20" s="40" customFormat="1" ht="28.05" customHeight="1">
      <c r="A21" s="31">
        <v>16</v>
      </c>
      <c r="B21" s="32" t="s">
        <v>56</v>
      </c>
      <c r="C21" s="31">
        <v>102</v>
      </c>
      <c r="D21" s="35">
        <v>92</v>
      </c>
      <c r="E21" s="31">
        <v>55</v>
      </c>
      <c r="F21" s="31">
        <v>27</v>
      </c>
      <c r="G21" s="31">
        <v>0</v>
      </c>
      <c r="H21" s="31">
        <v>10</v>
      </c>
      <c r="I21" s="35">
        <v>10</v>
      </c>
      <c r="J21" s="31">
        <v>2</v>
      </c>
      <c r="K21" s="31">
        <v>0</v>
      </c>
      <c r="L21" s="31">
        <v>8</v>
      </c>
      <c r="M21" s="31">
        <v>84</v>
      </c>
      <c r="N21" s="31">
        <v>18</v>
      </c>
      <c r="O21" s="37">
        <v>60.638297872340424</v>
      </c>
      <c r="P21" s="37">
        <v>82.352941176470594</v>
      </c>
      <c r="Q21" s="38">
        <f t="shared" si="0"/>
        <v>60.638297872340424</v>
      </c>
      <c r="R21" s="38">
        <f t="shared" si="1"/>
        <v>82.352941176470594</v>
      </c>
      <c r="S21" s="39" t="b">
        <f t="shared" si="2"/>
        <v>1</v>
      </c>
      <c r="T21" s="39" t="b">
        <f t="shared" si="2"/>
        <v>1</v>
      </c>
    </row>
    <row r="22" spans="1:20" s="40" customFormat="1" ht="28.05" customHeight="1">
      <c r="A22" s="31">
        <v>17</v>
      </c>
      <c r="B22" s="32" t="s">
        <v>57</v>
      </c>
      <c r="C22" s="31">
        <v>303</v>
      </c>
      <c r="D22" s="35">
        <v>287</v>
      </c>
      <c r="E22" s="31">
        <v>174</v>
      </c>
      <c r="F22" s="31">
        <v>56</v>
      </c>
      <c r="G22" s="31">
        <v>0</v>
      </c>
      <c r="H22" s="31">
        <v>57</v>
      </c>
      <c r="I22" s="35">
        <v>16</v>
      </c>
      <c r="J22" s="31">
        <v>0</v>
      </c>
      <c r="K22" s="31">
        <v>0</v>
      </c>
      <c r="L22" s="31">
        <v>16</v>
      </c>
      <c r="M22" s="31">
        <v>230</v>
      </c>
      <c r="N22" s="31">
        <v>73</v>
      </c>
      <c r="O22" s="37">
        <v>60.627177700348433</v>
      </c>
      <c r="P22" s="37">
        <v>75.907590759075902</v>
      </c>
      <c r="Q22" s="38">
        <f t="shared" si="0"/>
        <v>60.627177700348433</v>
      </c>
      <c r="R22" s="38">
        <f t="shared" si="1"/>
        <v>75.907590759075902</v>
      </c>
      <c r="S22" s="39" t="b">
        <f t="shared" si="2"/>
        <v>1</v>
      </c>
      <c r="T22" s="39" t="b">
        <f t="shared" si="2"/>
        <v>1</v>
      </c>
    </row>
    <row r="23" spans="1:20" s="40" customFormat="1" ht="28.05" customHeight="1">
      <c r="A23" s="31">
        <v>18</v>
      </c>
      <c r="B23" s="32" t="s">
        <v>58</v>
      </c>
      <c r="C23" s="31">
        <v>123</v>
      </c>
      <c r="D23" s="35">
        <v>116</v>
      </c>
      <c r="E23" s="31">
        <v>68</v>
      </c>
      <c r="F23" s="31">
        <v>47</v>
      </c>
      <c r="G23" s="31">
        <v>0</v>
      </c>
      <c r="H23" s="31">
        <v>1</v>
      </c>
      <c r="I23" s="35">
        <v>7</v>
      </c>
      <c r="J23" s="31">
        <v>4</v>
      </c>
      <c r="K23" s="31">
        <v>0</v>
      </c>
      <c r="L23" s="31">
        <v>3</v>
      </c>
      <c r="M23" s="31">
        <v>119</v>
      </c>
      <c r="N23" s="31">
        <v>4</v>
      </c>
      <c r="O23" s="37">
        <v>60</v>
      </c>
      <c r="P23" s="37">
        <v>96.747967479674799</v>
      </c>
      <c r="Q23" s="38">
        <f t="shared" si="0"/>
        <v>60</v>
      </c>
      <c r="R23" s="38">
        <f t="shared" si="1"/>
        <v>96.747967479674799</v>
      </c>
      <c r="S23" s="39" t="b">
        <f t="shared" si="2"/>
        <v>1</v>
      </c>
      <c r="T23" s="39" t="b">
        <f t="shared" si="2"/>
        <v>1</v>
      </c>
    </row>
    <row r="24" spans="1:20" s="40" customFormat="1" ht="28.05" customHeight="1">
      <c r="A24" s="31">
        <v>19</v>
      </c>
      <c r="B24" s="32" t="s">
        <v>59</v>
      </c>
      <c r="C24" s="31">
        <v>259</v>
      </c>
      <c r="D24" s="35">
        <v>234</v>
      </c>
      <c r="E24" s="31">
        <v>137</v>
      </c>
      <c r="F24" s="31">
        <v>67</v>
      </c>
      <c r="G24" s="31">
        <v>0</v>
      </c>
      <c r="H24" s="31">
        <v>30</v>
      </c>
      <c r="I24" s="35">
        <v>25</v>
      </c>
      <c r="J24" s="31">
        <v>3</v>
      </c>
      <c r="K24" s="31">
        <v>0</v>
      </c>
      <c r="L24" s="31">
        <v>22</v>
      </c>
      <c r="M24" s="31">
        <v>207</v>
      </c>
      <c r="N24" s="31">
        <v>52</v>
      </c>
      <c r="O24" s="37">
        <v>59.071729957805907</v>
      </c>
      <c r="P24" s="37">
        <v>79.922779922779924</v>
      </c>
      <c r="Q24" s="38">
        <f t="shared" si="0"/>
        <v>59.071729957805907</v>
      </c>
      <c r="R24" s="38">
        <f t="shared" si="1"/>
        <v>79.922779922779924</v>
      </c>
      <c r="S24" s="39" t="b">
        <f t="shared" si="2"/>
        <v>1</v>
      </c>
      <c r="T24" s="39" t="b">
        <f t="shared" si="2"/>
        <v>1</v>
      </c>
    </row>
    <row r="25" spans="1:20" s="40" customFormat="1" ht="28.05" customHeight="1">
      <c r="A25" s="31">
        <v>20</v>
      </c>
      <c r="B25" s="32" t="s">
        <v>60</v>
      </c>
      <c r="C25" s="31">
        <v>137</v>
      </c>
      <c r="D25" s="35">
        <v>126</v>
      </c>
      <c r="E25" s="31">
        <v>72</v>
      </c>
      <c r="F25" s="31">
        <v>44</v>
      </c>
      <c r="G25" s="31">
        <v>0</v>
      </c>
      <c r="H25" s="31">
        <v>10</v>
      </c>
      <c r="I25" s="35">
        <v>11</v>
      </c>
      <c r="J25" s="31">
        <v>3</v>
      </c>
      <c r="K25" s="31">
        <v>0</v>
      </c>
      <c r="L25" s="31">
        <v>8</v>
      </c>
      <c r="M25" s="31">
        <v>119</v>
      </c>
      <c r="N25" s="31">
        <v>18</v>
      </c>
      <c r="O25" s="37">
        <v>58.139534883720927</v>
      </c>
      <c r="P25" s="37">
        <v>86.861313868613138</v>
      </c>
      <c r="Q25" s="38">
        <f t="shared" si="0"/>
        <v>58.139534883720927</v>
      </c>
      <c r="R25" s="38">
        <f t="shared" si="1"/>
        <v>86.861313868613138</v>
      </c>
      <c r="S25" s="39" t="b">
        <f t="shared" si="2"/>
        <v>1</v>
      </c>
      <c r="T25" s="39" t="b">
        <f t="shared" si="2"/>
        <v>1</v>
      </c>
    </row>
    <row r="26" spans="1:20" s="40" customFormat="1" ht="28.05" customHeight="1">
      <c r="A26" s="31">
        <v>21</v>
      </c>
      <c r="B26" s="32" t="s">
        <v>61</v>
      </c>
      <c r="C26" s="31">
        <v>56</v>
      </c>
      <c r="D26" s="35">
        <v>53</v>
      </c>
      <c r="E26" s="31">
        <v>30</v>
      </c>
      <c r="F26" s="31">
        <v>20</v>
      </c>
      <c r="G26" s="31">
        <v>0</v>
      </c>
      <c r="H26" s="31">
        <v>3</v>
      </c>
      <c r="I26" s="35">
        <v>3</v>
      </c>
      <c r="J26" s="31">
        <v>1</v>
      </c>
      <c r="K26" s="31">
        <v>0</v>
      </c>
      <c r="L26" s="31">
        <v>2</v>
      </c>
      <c r="M26" s="31">
        <v>51</v>
      </c>
      <c r="N26" s="31">
        <v>5</v>
      </c>
      <c r="O26" s="37">
        <v>57.407407407407405</v>
      </c>
      <c r="P26" s="37">
        <v>91.071428571428569</v>
      </c>
      <c r="Q26" s="38">
        <f t="shared" si="0"/>
        <v>57.407407407407405</v>
      </c>
      <c r="R26" s="38">
        <f t="shared" si="1"/>
        <v>91.071428571428569</v>
      </c>
      <c r="S26" s="39" t="b">
        <f t="shared" si="2"/>
        <v>1</v>
      </c>
      <c r="T26" s="39" t="b">
        <f t="shared" si="2"/>
        <v>1</v>
      </c>
    </row>
    <row r="27" spans="1:20" s="40" customFormat="1" ht="28.05" customHeight="1">
      <c r="A27" s="31">
        <v>22</v>
      </c>
      <c r="B27" s="32" t="s">
        <v>62</v>
      </c>
      <c r="C27" s="31">
        <v>143</v>
      </c>
      <c r="D27" s="35">
        <v>128</v>
      </c>
      <c r="E27" s="31">
        <v>70</v>
      </c>
      <c r="F27" s="31">
        <v>35</v>
      </c>
      <c r="G27" s="31">
        <v>0</v>
      </c>
      <c r="H27" s="31">
        <v>23</v>
      </c>
      <c r="I27" s="35">
        <v>15</v>
      </c>
      <c r="J27" s="31">
        <v>1</v>
      </c>
      <c r="K27" s="31">
        <v>0</v>
      </c>
      <c r="L27" s="31">
        <v>14</v>
      </c>
      <c r="M27" s="31">
        <v>106</v>
      </c>
      <c r="N27" s="31">
        <v>37</v>
      </c>
      <c r="O27" s="37">
        <v>55.038759689922479</v>
      </c>
      <c r="P27" s="37">
        <v>74.12587412587412</v>
      </c>
      <c r="Q27" s="38">
        <f t="shared" si="0"/>
        <v>55.038759689922479</v>
      </c>
      <c r="R27" s="38">
        <f t="shared" si="1"/>
        <v>74.12587412587412</v>
      </c>
      <c r="S27" s="39" t="b">
        <f t="shared" si="2"/>
        <v>1</v>
      </c>
      <c r="T27" s="39" t="b">
        <f t="shared" si="2"/>
        <v>1</v>
      </c>
    </row>
    <row r="28" spans="1:20" s="40" customFormat="1" ht="28.05" customHeight="1">
      <c r="A28" s="31">
        <v>23</v>
      </c>
      <c r="B28" s="32" t="s">
        <v>63</v>
      </c>
      <c r="C28" s="31">
        <v>165</v>
      </c>
      <c r="D28" s="35">
        <v>146</v>
      </c>
      <c r="E28" s="31">
        <v>76</v>
      </c>
      <c r="F28" s="31">
        <v>38</v>
      </c>
      <c r="G28" s="31">
        <v>3</v>
      </c>
      <c r="H28" s="31">
        <v>29</v>
      </c>
      <c r="I28" s="35">
        <v>19</v>
      </c>
      <c r="J28" s="31">
        <v>0</v>
      </c>
      <c r="K28" s="31">
        <v>0</v>
      </c>
      <c r="L28" s="31">
        <v>19</v>
      </c>
      <c r="M28" s="31">
        <v>117</v>
      </c>
      <c r="N28" s="31">
        <v>48</v>
      </c>
      <c r="O28" s="37">
        <v>52.054794520547944</v>
      </c>
      <c r="P28" s="37">
        <v>70.909090909090907</v>
      </c>
      <c r="Q28" s="38">
        <f t="shared" si="0"/>
        <v>52.054794520547944</v>
      </c>
      <c r="R28" s="38">
        <f t="shared" si="1"/>
        <v>70.909090909090907</v>
      </c>
      <c r="S28" s="39" t="b">
        <f t="shared" si="2"/>
        <v>1</v>
      </c>
      <c r="T28" s="39" t="b">
        <f t="shared" si="2"/>
        <v>1</v>
      </c>
    </row>
    <row r="29" spans="1:20" s="40" customFormat="1" ht="28.05" customHeight="1">
      <c r="A29" s="31">
        <v>24</v>
      </c>
      <c r="B29" s="32" t="s">
        <v>64</v>
      </c>
      <c r="C29" s="31">
        <v>214</v>
      </c>
      <c r="D29" s="35">
        <v>202</v>
      </c>
      <c r="E29" s="31">
        <v>105</v>
      </c>
      <c r="F29" s="31">
        <v>76</v>
      </c>
      <c r="G29" s="31">
        <v>2</v>
      </c>
      <c r="H29" s="31">
        <v>19</v>
      </c>
      <c r="I29" s="35">
        <v>12</v>
      </c>
      <c r="J29" s="31">
        <v>0</v>
      </c>
      <c r="K29" s="31">
        <v>0</v>
      </c>
      <c r="L29" s="31">
        <v>12</v>
      </c>
      <c r="M29" s="31">
        <v>183</v>
      </c>
      <c r="N29" s="31">
        <v>31</v>
      </c>
      <c r="O29" s="37">
        <v>51.980198019801982</v>
      </c>
      <c r="P29" s="37">
        <v>85.514018691588788</v>
      </c>
      <c r="Q29" s="38">
        <f t="shared" si="0"/>
        <v>51.980198019801982</v>
      </c>
      <c r="R29" s="38">
        <f t="shared" si="1"/>
        <v>85.514018691588788</v>
      </c>
      <c r="S29" s="39" t="b">
        <f t="shared" si="2"/>
        <v>1</v>
      </c>
      <c r="T29" s="39" t="b">
        <f t="shared" si="2"/>
        <v>1</v>
      </c>
    </row>
    <row r="30" spans="1:20" s="40" customFormat="1" ht="28.05" customHeight="1">
      <c r="A30" s="31">
        <v>25</v>
      </c>
      <c r="B30" s="41" t="s">
        <v>65</v>
      </c>
      <c r="C30" s="42">
        <v>62</v>
      </c>
      <c r="D30" s="35">
        <v>62</v>
      </c>
      <c r="E30" s="42">
        <v>31</v>
      </c>
      <c r="F30" s="42">
        <v>26</v>
      </c>
      <c r="G30" s="42">
        <v>0</v>
      </c>
      <c r="H30" s="42">
        <v>5</v>
      </c>
      <c r="I30" s="35">
        <v>0</v>
      </c>
      <c r="J30" s="42">
        <v>0</v>
      </c>
      <c r="K30" s="42">
        <v>0</v>
      </c>
      <c r="L30" s="42">
        <v>0</v>
      </c>
      <c r="M30" s="42">
        <v>57</v>
      </c>
      <c r="N30" s="42">
        <v>5</v>
      </c>
      <c r="O30" s="43">
        <v>50</v>
      </c>
      <c r="P30" s="37">
        <v>91.935483870967744</v>
      </c>
      <c r="Q30" s="38">
        <f t="shared" si="0"/>
        <v>50</v>
      </c>
      <c r="R30" s="38">
        <f t="shared" si="1"/>
        <v>91.935483870967744</v>
      </c>
      <c r="S30" s="39" t="b">
        <f t="shared" si="2"/>
        <v>1</v>
      </c>
      <c r="T30" s="39" t="b">
        <f t="shared" si="2"/>
        <v>1</v>
      </c>
    </row>
    <row r="31" spans="1:20" s="40" customFormat="1" ht="28.05" customHeight="1">
      <c r="A31" s="31">
        <v>26</v>
      </c>
      <c r="B31" s="32" t="s">
        <v>66</v>
      </c>
      <c r="C31" s="31">
        <v>155</v>
      </c>
      <c r="D31" s="35">
        <v>140</v>
      </c>
      <c r="E31" s="31">
        <v>63</v>
      </c>
      <c r="F31" s="31">
        <v>38</v>
      </c>
      <c r="G31" s="31">
        <v>0</v>
      </c>
      <c r="H31" s="31">
        <v>39</v>
      </c>
      <c r="I31" s="35">
        <v>15</v>
      </c>
      <c r="J31" s="31">
        <v>1</v>
      </c>
      <c r="K31" s="31">
        <v>0</v>
      </c>
      <c r="L31" s="31">
        <v>14</v>
      </c>
      <c r="M31" s="31">
        <v>102</v>
      </c>
      <c r="N31" s="31">
        <v>53</v>
      </c>
      <c r="O31" s="37">
        <v>45.390070921985817</v>
      </c>
      <c r="P31" s="37">
        <v>65.806451612903231</v>
      </c>
      <c r="Q31" s="38">
        <f t="shared" si="0"/>
        <v>45.390070921985817</v>
      </c>
      <c r="R31" s="38">
        <f t="shared" si="1"/>
        <v>65.806451612903231</v>
      </c>
      <c r="S31" s="39" t="b">
        <f t="shared" si="2"/>
        <v>1</v>
      </c>
      <c r="T31" s="39" t="b">
        <f t="shared" si="2"/>
        <v>1</v>
      </c>
    </row>
    <row r="32" spans="1:20" s="44" customFormat="1" ht="28.05" customHeight="1">
      <c r="A32" s="31">
        <v>27</v>
      </c>
      <c r="B32" s="32" t="s">
        <v>67</v>
      </c>
      <c r="C32" s="31">
        <v>122</v>
      </c>
      <c r="D32" s="35">
        <v>112</v>
      </c>
      <c r="E32" s="31">
        <v>48</v>
      </c>
      <c r="F32" s="31">
        <v>55</v>
      </c>
      <c r="G32" s="31">
        <v>2</v>
      </c>
      <c r="H32" s="31">
        <v>7</v>
      </c>
      <c r="I32" s="35">
        <v>10</v>
      </c>
      <c r="J32" s="31">
        <v>2</v>
      </c>
      <c r="K32" s="31">
        <v>0</v>
      </c>
      <c r="L32" s="31">
        <v>8</v>
      </c>
      <c r="M32" s="31">
        <v>107</v>
      </c>
      <c r="N32" s="31">
        <v>15</v>
      </c>
      <c r="O32" s="37">
        <v>43.859649122807021</v>
      </c>
      <c r="P32" s="37">
        <v>87.704918032786878</v>
      </c>
      <c r="Q32" s="38">
        <f t="shared" si="0"/>
        <v>43.859649122807021</v>
      </c>
      <c r="R32" s="38">
        <f t="shared" si="1"/>
        <v>87.704918032786878</v>
      </c>
      <c r="S32" s="39" t="b">
        <f t="shared" si="2"/>
        <v>1</v>
      </c>
      <c r="T32" s="39" t="b">
        <f t="shared" si="2"/>
        <v>1</v>
      </c>
    </row>
    <row r="33" spans="1:20" s="40" customFormat="1" ht="28.05" customHeight="1">
      <c r="A33" s="31">
        <v>28</v>
      </c>
      <c r="B33" s="32" t="s">
        <v>68</v>
      </c>
      <c r="C33" s="31">
        <v>202</v>
      </c>
      <c r="D33" s="35">
        <v>193</v>
      </c>
      <c r="E33" s="31">
        <v>81</v>
      </c>
      <c r="F33" s="31">
        <v>42</v>
      </c>
      <c r="G33" s="31">
        <v>0</v>
      </c>
      <c r="H33" s="31">
        <v>70</v>
      </c>
      <c r="I33" s="35">
        <v>9</v>
      </c>
      <c r="J33" s="31">
        <v>1</v>
      </c>
      <c r="K33" s="31">
        <v>0</v>
      </c>
      <c r="L33" s="31">
        <v>8</v>
      </c>
      <c r="M33" s="31">
        <v>124</v>
      </c>
      <c r="N33" s="31">
        <v>78</v>
      </c>
      <c r="O33" s="37">
        <v>42.268041237113401</v>
      </c>
      <c r="P33" s="37">
        <v>61.386138613861384</v>
      </c>
      <c r="Q33" s="38">
        <f t="shared" si="0"/>
        <v>42.268041237113401</v>
      </c>
      <c r="R33" s="38">
        <f t="shared" si="1"/>
        <v>61.386138613861384</v>
      </c>
      <c r="S33" s="39" t="b">
        <f t="shared" si="2"/>
        <v>1</v>
      </c>
      <c r="T33" s="39" t="b">
        <f t="shared" si="2"/>
        <v>1</v>
      </c>
    </row>
    <row r="34" spans="1:20" s="40" customFormat="1" ht="28.05" customHeight="1">
      <c r="A34" s="31">
        <v>29</v>
      </c>
      <c r="B34" s="32" t="s">
        <v>69</v>
      </c>
      <c r="C34" s="31">
        <v>144</v>
      </c>
      <c r="D34" s="35">
        <v>135</v>
      </c>
      <c r="E34" s="31">
        <v>54</v>
      </c>
      <c r="F34" s="31">
        <v>48</v>
      </c>
      <c r="G34" s="31">
        <v>0</v>
      </c>
      <c r="H34" s="31">
        <v>33</v>
      </c>
      <c r="I34" s="35">
        <v>9</v>
      </c>
      <c r="J34" s="31">
        <v>1</v>
      </c>
      <c r="K34" s="31">
        <v>0</v>
      </c>
      <c r="L34" s="31">
        <v>8</v>
      </c>
      <c r="M34" s="31">
        <v>103</v>
      </c>
      <c r="N34" s="31">
        <v>41</v>
      </c>
      <c r="O34" s="37">
        <v>40.441176470588232</v>
      </c>
      <c r="P34" s="37">
        <v>71.527777777777771</v>
      </c>
      <c r="Q34" s="38">
        <f t="shared" si="0"/>
        <v>40.441176470588232</v>
      </c>
      <c r="R34" s="38">
        <f t="shared" si="1"/>
        <v>71.527777777777771</v>
      </c>
      <c r="S34" s="39" t="b">
        <f t="shared" si="2"/>
        <v>1</v>
      </c>
      <c r="T34" s="39" t="b">
        <f t="shared" si="2"/>
        <v>1</v>
      </c>
    </row>
    <row r="35" spans="1:20" s="40" customFormat="1" ht="28.05" customHeight="1">
      <c r="A35" s="31">
        <v>30</v>
      </c>
      <c r="B35" s="32" t="s">
        <v>70</v>
      </c>
      <c r="C35" s="31">
        <v>182</v>
      </c>
      <c r="D35" s="35">
        <v>170</v>
      </c>
      <c r="E35" s="31">
        <v>64</v>
      </c>
      <c r="F35" s="31">
        <v>80</v>
      </c>
      <c r="G35" s="31">
        <v>0</v>
      </c>
      <c r="H35" s="31">
        <v>26</v>
      </c>
      <c r="I35" s="35">
        <v>12</v>
      </c>
      <c r="J35" s="31">
        <v>3</v>
      </c>
      <c r="K35" s="31">
        <v>0</v>
      </c>
      <c r="L35" s="31">
        <v>9</v>
      </c>
      <c r="M35" s="31">
        <v>147</v>
      </c>
      <c r="N35" s="31">
        <v>35</v>
      </c>
      <c r="O35" s="45">
        <v>38.728323699421964</v>
      </c>
      <c r="P35" s="37">
        <v>80.769230769230774</v>
      </c>
      <c r="Q35" s="38">
        <f t="shared" si="0"/>
        <v>38.728323699421964</v>
      </c>
      <c r="R35" s="38">
        <f t="shared" si="1"/>
        <v>80.769230769230774</v>
      </c>
      <c r="S35" s="39" t="b">
        <f t="shared" si="2"/>
        <v>1</v>
      </c>
      <c r="T35" s="39" t="b">
        <f t="shared" si="2"/>
        <v>1</v>
      </c>
    </row>
    <row r="36" spans="1:20" s="40" customFormat="1" ht="28.05" customHeight="1">
      <c r="A36" s="31">
        <v>31</v>
      </c>
      <c r="B36" s="32" t="s">
        <v>71</v>
      </c>
      <c r="C36" s="31">
        <v>200</v>
      </c>
      <c r="D36" s="35">
        <v>181</v>
      </c>
      <c r="E36" s="31">
        <v>63</v>
      </c>
      <c r="F36" s="31">
        <v>88</v>
      </c>
      <c r="G36" s="31">
        <v>1</v>
      </c>
      <c r="H36" s="31">
        <v>29</v>
      </c>
      <c r="I36" s="35">
        <v>19</v>
      </c>
      <c r="J36" s="31">
        <v>2</v>
      </c>
      <c r="K36" s="31">
        <v>0</v>
      </c>
      <c r="L36" s="31">
        <v>17</v>
      </c>
      <c r="M36" s="31">
        <v>154</v>
      </c>
      <c r="N36" s="31">
        <v>46</v>
      </c>
      <c r="O36" s="45">
        <v>35.519125683060111</v>
      </c>
      <c r="P36" s="37">
        <v>77</v>
      </c>
      <c r="Q36" s="38">
        <f t="shared" si="0"/>
        <v>35.519125683060111</v>
      </c>
      <c r="R36" s="38">
        <f t="shared" si="1"/>
        <v>77</v>
      </c>
      <c r="S36" s="39" t="b">
        <f t="shared" si="2"/>
        <v>1</v>
      </c>
      <c r="T36" s="39" t="b">
        <f t="shared" si="2"/>
        <v>1</v>
      </c>
    </row>
    <row r="37" spans="1:20" s="40" customFormat="1" ht="28.05" customHeight="1">
      <c r="A37" s="31">
        <v>32</v>
      </c>
      <c r="B37" s="32" t="s">
        <v>72</v>
      </c>
      <c r="C37" s="31">
        <v>73</v>
      </c>
      <c r="D37" s="35">
        <v>64</v>
      </c>
      <c r="E37" s="31">
        <v>20</v>
      </c>
      <c r="F37" s="31">
        <v>16</v>
      </c>
      <c r="G37" s="31">
        <v>0</v>
      </c>
      <c r="H37" s="31">
        <v>28</v>
      </c>
      <c r="I37" s="35">
        <v>9</v>
      </c>
      <c r="J37" s="31">
        <v>2</v>
      </c>
      <c r="K37" s="31">
        <v>0</v>
      </c>
      <c r="L37" s="31">
        <v>7</v>
      </c>
      <c r="M37" s="31">
        <v>38</v>
      </c>
      <c r="N37" s="31">
        <v>35</v>
      </c>
      <c r="O37" s="45">
        <v>33.333333333333336</v>
      </c>
      <c r="P37" s="37">
        <v>52.054794520547944</v>
      </c>
      <c r="Q37" s="38">
        <f t="shared" si="0"/>
        <v>33.333333333333336</v>
      </c>
      <c r="R37" s="38">
        <f t="shared" si="1"/>
        <v>52.054794520547944</v>
      </c>
      <c r="S37" s="39" t="b">
        <f t="shared" si="2"/>
        <v>1</v>
      </c>
      <c r="T37" s="39" t="b">
        <f t="shared" si="2"/>
        <v>1</v>
      </c>
    </row>
    <row r="38" spans="1:20" s="40" customFormat="1" ht="28.05" customHeight="1">
      <c r="A38" s="31">
        <v>33</v>
      </c>
      <c r="B38" s="32" t="s">
        <v>73</v>
      </c>
      <c r="C38" s="31">
        <v>73</v>
      </c>
      <c r="D38" s="35">
        <v>66</v>
      </c>
      <c r="E38" s="31">
        <v>14</v>
      </c>
      <c r="F38" s="31">
        <v>30</v>
      </c>
      <c r="G38" s="31">
        <v>0</v>
      </c>
      <c r="H38" s="31">
        <v>22</v>
      </c>
      <c r="I38" s="35">
        <v>7</v>
      </c>
      <c r="J38" s="31">
        <v>1</v>
      </c>
      <c r="K38" s="31">
        <v>0</v>
      </c>
      <c r="L38" s="31">
        <v>6</v>
      </c>
      <c r="M38" s="31">
        <v>45</v>
      </c>
      <c r="N38" s="31">
        <v>28</v>
      </c>
      <c r="O38" s="45">
        <v>22.388059701492537</v>
      </c>
      <c r="P38" s="37">
        <v>61.643835616438359</v>
      </c>
      <c r="Q38" s="38">
        <f t="shared" si="0"/>
        <v>22.388059701492537</v>
      </c>
      <c r="R38" s="38">
        <f t="shared" si="1"/>
        <v>61.643835616438359</v>
      </c>
      <c r="S38" s="39" t="b">
        <f t="shared" si="2"/>
        <v>1</v>
      </c>
      <c r="T38" s="39" t="b">
        <f t="shared" si="2"/>
        <v>1</v>
      </c>
    </row>
    <row r="39" spans="1:20" s="40" customFormat="1" ht="28.05" customHeight="1">
      <c r="A39" s="31">
        <v>34</v>
      </c>
      <c r="B39" s="32" t="s">
        <v>74</v>
      </c>
      <c r="C39" s="31">
        <v>4</v>
      </c>
      <c r="D39" s="35">
        <v>4</v>
      </c>
      <c r="E39" s="31">
        <v>0</v>
      </c>
      <c r="F39" s="31">
        <v>1</v>
      </c>
      <c r="G39" s="31">
        <v>0</v>
      </c>
      <c r="H39" s="31">
        <v>3</v>
      </c>
      <c r="I39" s="35">
        <v>0</v>
      </c>
      <c r="J39" s="31">
        <v>0</v>
      </c>
      <c r="K39" s="31">
        <v>0</v>
      </c>
      <c r="L39" s="31">
        <v>0</v>
      </c>
      <c r="M39" s="31">
        <v>1</v>
      </c>
      <c r="N39" s="31">
        <v>3</v>
      </c>
      <c r="O39" s="45">
        <v>0</v>
      </c>
      <c r="P39" s="37">
        <v>25</v>
      </c>
      <c r="Q39" s="38">
        <f t="shared" si="0"/>
        <v>0</v>
      </c>
      <c r="R39" s="38">
        <f t="shared" si="1"/>
        <v>25</v>
      </c>
      <c r="S39" s="39" t="b">
        <f t="shared" si="2"/>
        <v>1</v>
      </c>
      <c r="T39" s="39" t="b">
        <f t="shared" si="2"/>
        <v>1</v>
      </c>
    </row>
    <row r="40" spans="1:20" s="40" customFormat="1" ht="25.05" customHeight="1">
      <c r="A40" s="46" t="s">
        <v>75</v>
      </c>
      <c r="B40" s="46"/>
      <c r="C40" s="47">
        <f>SUM(C6:C39)</f>
        <v>4957</v>
      </c>
      <c r="D40" s="48">
        <f t="shared" ref="D40:N40" si="3">SUM(D6:D39)</f>
        <v>4571</v>
      </c>
      <c r="E40" s="47">
        <f t="shared" si="3"/>
        <v>2710</v>
      </c>
      <c r="F40" s="47">
        <f t="shared" si="3"/>
        <v>1284</v>
      </c>
      <c r="G40" s="47">
        <f t="shared" si="3"/>
        <v>10</v>
      </c>
      <c r="H40" s="47">
        <f t="shared" si="3"/>
        <v>567</v>
      </c>
      <c r="I40" s="48">
        <f t="shared" si="3"/>
        <v>386</v>
      </c>
      <c r="J40" s="47">
        <f t="shared" si="3"/>
        <v>76</v>
      </c>
      <c r="K40" s="47">
        <f t="shared" si="3"/>
        <v>0</v>
      </c>
      <c r="L40" s="47">
        <f t="shared" si="3"/>
        <v>310</v>
      </c>
      <c r="M40" s="47">
        <f t="shared" si="3"/>
        <v>4080</v>
      </c>
      <c r="N40" s="47">
        <f t="shared" si="3"/>
        <v>877</v>
      </c>
      <c r="O40" s="49">
        <f>IFERROR((E40+J40)*100/(D40+J40),0)</f>
        <v>59.952657628577576</v>
      </c>
      <c r="P40" s="49">
        <f>IFERROR(M40*100/C40,0)</f>
        <v>82.307847488400242</v>
      </c>
      <c r="Q40" s="38">
        <f>IFERROR((E40+J40)*100/(D40+J40),0)</f>
        <v>59.952657628577576</v>
      </c>
      <c r="R40" s="38">
        <f>IFERROR(M40*100/C40,0)</f>
        <v>82.307847488400242</v>
      </c>
      <c r="S40" s="39" t="b">
        <f t="shared" ref="S40:T40" si="4">O40=Q40</f>
        <v>1</v>
      </c>
      <c r="T40" s="39" t="b">
        <f t="shared" si="4"/>
        <v>1</v>
      </c>
    </row>
  </sheetData>
  <mergeCells count="11">
    <mergeCell ref="A40:B40"/>
    <mergeCell ref="A1:P1"/>
    <mergeCell ref="A2:A3"/>
    <mergeCell ref="B2:B3"/>
    <mergeCell ref="C2:C3"/>
    <mergeCell ref="D2:H2"/>
    <mergeCell ref="I2:L2"/>
    <mergeCell ref="M2:M3"/>
    <mergeCell ref="N2:N3"/>
    <mergeCell ref="O2:O3"/>
    <mergeCell ref="P2:P3"/>
  </mergeCells>
  <conditionalFormatting sqref="S1:T1048576">
    <cfRule type="containsText" dxfId="3" priority="1" operator="containsText" text="FALSE">
      <formula>NOT(ISERROR(SEARCH("FALSE",S1)))</formula>
    </cfRule>
  </conditionalFormatting>
  <printOptions horizontalCentered="1"/>
  <pageMargins left="0.55118110236220474" right="0.55118110236220474" top="0.98425196850393704" bottom="0.98425196850393704" header="0.51181102362204722" footer="0.51181102362204722"/>
  <pageSetup paperSize="5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F3C6-C164-4289-9346-C72672750740}">
  <sheetPr codeName="Sheet25">
    <tabColor rgb="FFFFFF00"/>
  </sheetPr>
  <dimension ref="A1:T45"/>
  <sheetViews>
    <sheetView showGridLines="0" zoomScale="85" zoomScaleNormal="85" workbookViewId="0">
      <pane ySplit="5" topLeftCell="A36" activePane="bottomLeft" state="frozen"/>
      <selection pane="bottomLeft" activeCell="A6" sqref="A6:P39"/>
    </sheetView>
  </sheetViews>
  <sheetFormatPr defaultRowHeight="14.4"/>
  <cols>
    <col min="1" max="1" width="5.77734375" customWidth="1"/>
    <col min="2" max="2" width="20.77734375" style="50" customWidth="1"/>
    <col min="3" max="3" width="12.21875" style="51" customWidth="1"/>
    <col min="4" max="4" width="18.77734375" style="51" customWidth="1"/>
    <col min="5" max="6" width="14.77734375" style="51" customWidth="1"/>
    <col min="7" max="7" width="13.6640625" style="51" customWidth="1"/>
    <col min="8" max="8" width="11.77734375" style="51" customWidth="1"/>
    <col min="9" max="11" width="14.77734375" style="51" customWidth="1"/>
    <col min="12" max="12" width="11.33203125" style="51" customWidth="1"/>
    <col min="13" max="13" width="11.21875" style="51" customWidth="1"/>
    <col min="14" max="14" width="8.77734375" style="51" customWidth="1"/>
    <col min="15" max="15" width="16.109375" style="51" customWidth="1"/>
    <col min="16" max="16" width="15.77734375" customWidth="1"/>
    <col min="17" max="20" width="0" style="51" hidden="1" customWidth="1"/>
  </cols>
  <sheetData>
    <row r="1" spans="1:20" s="3" customFormat="1" ht="30" customHeight="1">
      <c r="A1" s="1" t="str">
        <f ca="1">"CHITTOOR DISTRICT - 60 DAYS INVESTIGATION CASES REPORTED FROM 01-10-2025 " &amp;
" TO " &amp;
TEXT(TODAY()-1,"dd-mm-yyyy")</f>
        <v>CHITTOOR DISTRICT - 60 DAYS INVESTIGATION CASES REPORTED FROM 01-10-2025  TO 02-06-2026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</row>
    <row r="2" spans="1:20" s="3" customFormat="1" ht="30" customHeight="1">
      <c r="A2" s="4" t="s">
        <v>0</v>
      </c>
      <c r="B2" s="4" t="s">
        <v>1</v>
      </c>
      <c r="C2" s="5" t="s">
        <v>2</v>
      </c>
      <c r="D2" s="6" t="s">
        <v>3</v>
      </c>
      <c r="E2" s="6"/>
      <c r="F2" s="6"/>
      <c r="G2" s="6"/>
      <c r="H2" s="6"/>
      <c r="I2" s="7" t="s">
        <v>4</v>
      </c>
      <c r="J2" s="7"/>
      <c r="K2" s="7"/>
      <c r="L2" s="7"/>
      <c r="M2" s="8" t="s">
        <v>5</v>
      </c>
      <c r="N2" s="9" t="s">
        <v>6</v>
      </c>
      <c r="O2" s="10" t="s">
        <v>7</v>
      </c>
      <c r="P2" s="11" t="s">
        <v>8</v>
      </c>
      <c r="Q2" s="2"/>
      <c r="R2" s="2"/>
      <c r="S2" s="2"/>
      <c r="T2" s="2"/>
    </row>
    <row r="3" spans="1:20" s="16" customFormat="1" ht="48.6" customHeight="1">
      <c r="A3" s="12"/>
      <c r="B3" s="12"/>
      <c r="C3" s="5"/>
      <c r="D3" s="13" t="s">
        <v>9</v>
      </c>
      <c r="E3" s="13" t="s">
        <v>10</v>
      </c>
      <c r="F3" s="13" t="s">
        <v>11</v>
      </c>
      <c r="G3" s="13" t="s">
        <v>12</v>
      </c>
      <c r="H3" s="13" t="s">
        <v>13</v>
      </c>
      <c r="I3" s="14" t="s">
        <v>14</v>
      </c>
      <c r="J3" s="14" t="s">
        <v>15</v>
      </c>
      <c r="K3" s="14" t="s">
        <v>16</v>
      </c>
      <c r="L3" s="14" t="s">
        <v>17</v>
      </c>
      <c r="M3" s="8"/>
      <c r="N3" s="9"/>
      <c r="O3" s="10"/>
      <c r="P3" s="11"/>
      <c r="Q3" s="15"/>
      <c r="R3" s="15"/>
      <c r="S3" s="15"/>
      <c r="T3" s="15"/>
    </row>
    <row r="4" spans="1:20" s="2" customFormat="1" ht="19.95" customHeight="1">
      <c r="A4" s="17" t="s">
        <v>18</v>
      </c>
      <c r="B4" s="17" t="s">
        <v>19</v>
      </c>
      <c r="C4" s="18" t="s">
        <v>20</v>
      </c>
      <c r="D4" s="19" t="s">
        <v>21</v>
      </c>
      <c r="E4" s="19" t="s">
        <v>22</v>
      </c>
      <c r="F4" s="19" t="s">
        <v>23</v>
      </c>
      <c r="G4" s="19" t="s">
        <v>24</v>
      </c>
      <c r="H4" s="19" t="s">
        <v>25</v>
      </c>
      <c r="I4" s="20" t="s">
        <v>26</v>
      </c>
      <c r="J4" s="20" t="s">
        <v>27</v>
      </c>
      <c r="K4" s="20" t="s">
        <v>28</v>
      </c>
      <c r="L4" s="20" t="s">
        <v>29</v>
      </c>
      <c r="M4" s="21" t="s">
        <v>30</v>
      </c>
      <c r="N4" s="22" t="s">
        <v>31</v>
      </c>
      <c r="O4" s="23" t="s">
        <v>32</v>
      </c>
      <c r="P4" s="24" t="s">
        <v>33</v>
      </c>
    </row>
    <row r="5" spans="1:20" s="15" customFormat="1" ht="19.95" customHeight="1">
      <c r="A5" s="25"/>
      <c r="B5" s="25"/>
      <c r="C5" s="26" t="s">
        <v>34</v>
      </c>
      <c r="D5" s="27" t="s">
        <v>35</v>
      </c>
      <c r="E5" s="27"/>
      <c r="F5" s="27"/>
      <c r="G5" s="27"/>
      <c r="H5" s="27"/>
      <c r="I5" s="28" t="s">
        <v>36</v>
      </c>
      <c r="J5" s="28"/>
      <c r="K5" s="28"/>
      <c r="L5" s="28"/>
      <c r="M5" s="21" t="s">
        <v>37</v>
      </c>
      <c r="N5" s="22" t="s">
        <v>38</v>
      </c>
      <c r="O5" s="29" t="s">
        <v>39</v>
      </c>
      <c r="P5" s="30" t="s">
        <v>40</v>
      </c>
    </row>
    <row r="6" spans="1:20" s="40" customFormat="1" ht="28.05" customHeight="1">
      <c r="A6" s="31">
        <v>1</v>
      </c>
      <c r="B6" s="32" t="s">
        <v>41</v>
      </c>
      <c r="C6" s="33">
        <v>36</v>
      </c>
      <c r="D6" s="34">
        <v>32</v>
      </c>
      <c r="E6" s="33">
        <v>30</v>
      </c>
      <c r="F6" s="33">
        <v>1</v>
      </c>
      <c r="G6" s="33">
        <v>0</v>
      </c>
      <c r="H6" s="31">
        <v>1</v>
      </c>
      <c r="I6" s="35">
        <v>4</v>
      </c>
      <c r="J6" s="31">
        <v>2</v>
      </c>
      <c r="K6" s="31">
        <v>0</v>
      </c>
      <c r="L6" s="31">
        <v>2</v>
      </c>
      <c r="M6" s="31">
        <v>33</v>
      </c>
      <c r="N6" s="31">
        <v>3</v>
      </c>
      <c r="O6" s="36">
        <v>94.117647058823536</v>
      </c>
      <c r="P6" s="37">
        <v>91.666666666666671</v>
      </c>
      <c r="Q6" s="38">
        <f>IFERROR((E6+J6)*100/(D6+J6),0)</f>
        <v>94.117647058823536</v>
      </c>
      <c r="R6" s="38">
        <f>IFERROR(M6*100/C6,0)</f>
        <v>91.666666666666671</v>
      </c>
      <c r="S6" s="39" t="b">
        <f>O6=Q6</f>
        <v>1</v>
      </c>
      <c r="T6" s="39" t="b">
        <f>P6=R6</f>
        <v>1</v>
      </c>
    </row>
    <row r="7" spans="1:20" s="40" customFormat="1" ht="28.05" customHeight="1">
      <c r="A7" s="31">
        <v>2</v>
      </c>
      <c r="B7" s="32" t="s">
        <v>58</v>
      </c>
      <c r="C7" s="31">
        <v>34</v>
      </c>
      <c r="D7" s="35">
        <v>27</v>
      </c>
      <c r="E7" s="31">
        <v>25</v>
      </c>
      <c r="F7" s="31">
        <v>1</v>
      </c>
      <c r="G7" s="31">
        <v>0</v>
      </c>
      <c r="H7" s="31">
        <v>1</v>
      </c>
      <c r="I7" s="35">
        <v>7</v>
      </c>
      <c r="J7" s="31">
        <v>4</v>
      </c>
      <c r="K7" s="31">
        <v>0</v>
      </c>
      <c r="L7" s="31">
        <v>3</v>
      </c>
      <c r="M7" s="31">
        <v>30</v>
      </c>
      <c r="N7" s="31">
        <v>4</v>
      </c>
      <c r="O7" s="36">
        <v>93.548387096774192</v>
      </c>
      <c r="P7" s="37">
        <v>88.235294117647058</v>
      </c>
      <c r="Q7" s="38">
        <f t="shared" ref="Q7:Q39" si="0">IFERROR((E7+J7)*100/(D7+J7),0)</f>
        <v>93.548387096774192</v>
      </c>
      <c r="R7" s="38">
        <f t="shared" ref="R7:R39" si="1">IFERROR(M7*100/C7,0)</f>
        <v>88.235294117647058</v>
      </c>
      <c r="S7" s="39" t="b">
        <f t="shared" ref="S7:T39" si="2">O7=Q7</f>
        <v>1</v>
      </c>
      <c r="T7" s="39" t="b">
        <f t="shared" si="2"/>
        <v>1</v>
      </c>
    </row>
    <row r="8" spans="1:20" s="40" customFormat="1" ht="28.05" customHeight="1">
      <c r="A8" s="31">
        <v>3</v>
      </c>
      <c r="B8" s="32" t="s">
        <v>51</v>
      </c>
      <c r="C8" s="31">
        <v>51</v>
      </c>
      <c r="D8" s="35">
        <v>38</v>
      </c>
      <c r="E8" s="31">
        <v>34</v>
      </c>
      <c r="F8" s="31">
        <v>1</v>
      </c>
      <c r="G8" s="31">
        <v>0</v>
      </c>
      <c r="H8" s="31">
        <v>3</v>
      </c>
      <c r="I8" s="35">
        <v>13</v>
      </c>
      <c r="J8" s="31">
        <v>3</v>
      </c>
      <c r="K8" s="31">
        <v>0</v>
      </c>
      <c r="L8" s="31">
        <v>10</v>
      </c>
      <c r="M8" s="31">
        <v>38</v>
      </c>
      <c r="N8" s="31">
        <v>13</v>
      </c>
      <c r="O8" s="36">
        <v>90.243902439024396</v>
      </c>
      <c r="P8" s="37">
        <v>74.509803921568633</v>
      </c>
      <c r="Q8" s="38">
        <f t="shared" si="0"/>
        <v>90.243902439024396</v>
      </c>
      <c r="R8" s="38">
        <f t="shared" si="1"/>
        <v>74.509803921568633</v>
      </c>
      <c r="S8" s="39" t="b">
        <f t="shared" si="2"/>
        <v>1</v>
      </c>
      <c r="T8" s="39" t="b">
        <f t="shared" si="2"/>
        <v>1</v>
      </c>
    </row>
    <row r="9" spans="1:20" s="40" customFormat="1" ht="28.05" customHeight="1">
      <c r="A9" s="31">
        <v>4</v>
      </c>
      <c r="B9" s="32" t="s">
        <v>49</v>
      </c>
      <c r="C9" s="31">
        <v>84</v>
      </c>
      <c r="D9" s="35">
        <v>66</v>
      </c>
      <c r="E9" s="31">
        <v>58</v>
      </c>
      <c r="F9" s="31">
        <v>4</v>
      </c>
      <c r="G9" s="31">
        <v>0</v>
      </c>
      <c r="H9" s="31">
        <v>4</v>
      </c>
      <c r="I9" s="35">
        <v>18</v>
      </c>
      <c r="J9" s="31">
        <v>6</v>
      </c>
      <c r="K9" s="31">
        <v>0</v>
      </c>
      <c r="L9" s="31">
        <v>12</v>
      </c>
      <c r="M9" s="31">
        <v>68</v>
      </c>
      <c r="N9" s="31">
        <v>16</v>
      </c>
      <c r="O9" s="36">
        <v>88.888888888888886</v>
      </c>
      <c r="P9" s="37">
        <v>80.952380952380949</v>
      </c>
      <c r="Q9" s="38">
        <f t="shared" si="0"/>
        <v>88.888888888888886</v>
      </c>
      <c r="R9" s="38">
        <f t="shared" si="1"/>
        <v>80.952380952380949</v>
      </c>
      <c r="S9" s="39" t="b">
        <f t="shared" si="2"/>
        <v>1</v>
      </c>
      <c r="T9" s="39" t="b">
        <f t="shared" si="2"/>
        <v>1</v>
      </c>
    </row>
    <row r="10" spans="1:20" s="40" customFormat="1" ht="28.05" customHeight="1">
      <c r="A10" s="31">
        <v>5</v>
      </c>
      <c r="B10" s="32" t="s">
        <v>47</v>
      </c>
      <c r="C10" s="31">
        <v>77</v>
      </c>
      <c r="D10" s="35">
        <v>54</v>
      </c>
      <c r="E10" s="31">
        <v>46</v>
      </c>
      <c r="F10" s="31">
        <v>2</v>
      </c>
      <c r="G10" s="31">
        <v>0</v>
      </c>
      <c r="H10" s="31">
        <v>6</v>
      </c>
      <c r="I10" s="35">
        <v>23</v>
      </c>
      <c r="J10" s="31">
        <v>15</v>
      </c>
      <c r="K10" s="31">
        <v>0</v>
      </c>
      <c r="L10" s="31">
        <v>8</v>
      </c>
      <c r="M10" s="31">
        <v>63</v>
      </c>
      <c r="N10" s="31">
        <v>14</v>
      </c>
      <c r="O10" s="36">
        <v>88.405797101449281</v>
      </c>
      <c r="P10" s="37">
        <v>81.818181818181813</v>
      </c>
      <c r="Q10" s="38">
        <f t="shared" si="0"/>
        <v>88.405797101449281</v>
      </c>
      <c r="R10" s="38">
        <f t="shared" si="1"/>
        <v>81.818181818181813</v>
      </c>
      <c r="S10" s="39" t="b">
        <f t="shared" si="2"/>
        <v>1</v>
      </c>
      <c r="T10" s="39" t="b">
        <f t="shared" si="2"/>
        <v>1</v>
      </c>
    </row>
    <row r="11" spans="1:20" s="40" customFormat="1" ht="28.05" customHeight="1">
      <c r="A11" s="31">
        <v>6</v>
      </c>
      <c r="B11" s="32" t="s">
        <v>56</v>
      </c>
      <c r="C11" s="31">
        <v>31</v>
      </c>
      <c r="D11" s="35">
        <v>21</v>
      </c>
      <c r="E11" s="31">
        <v>18</v>
      </c>
      <c r="F11" s="31">
        <v>2</v>
      </c>
      <c r="G11" s="31">
        <v>0</v>
      </c>
      <c r="H11" s="31">
        <v>1</v>
      </c>
      <c r="I11" s="35">
        <v>10</v>
      </c>
      <c r="J11" s="31">
        <v>2</v>
      </c>
      <c r="K11" s="31">
        <v>0</v>
      </c>
      <c r="L11" s="31">
        <v>8</v>
      </c>
      <c r="M11" s="31">
        <v>22</v>
      </c>
      <c r="N11" s="31">
        <v>9</v>
      </c>
      <c r="O11" s="37">
        <v>86.956521739130437</v>
      </c>
      <c r="P11" s="37">
        <v>70.967741935483872</v>
      </c>
      <c r="Q11" s="38">
        <f t="shared" si="0"/>
        <v>86.956521739130437</v>
      </c>
      <c r="R11" s="38">
        <f t="shared" si="1"/>
        <v>70.967741935483872</v>
      </c>
      <c r="S11" s="39" t="b">
        <f t="shared" si="2"/>
        <v>1</v>
      </c>
      <c r="T11" s="39" t="b">
        <f t="shared" si="2"/>
        <v>1</v>
      </c>
    </row>
    <row r="12" spans="1:20" s="40" customFormat="1" ht="28.05" customHeight="1">
      <c r="A12" s="31">
        <v>7</v>
      </c>
      <c r="B12" s="32" t="s">
        <v>48</v>
      </c>
      <c r="C12" s="31">
        <v>22</v>
      </c>
      <c r="D12" s="35">
        <v>20</v>
      </c>
      <c r="E12" s="31">
        <v>17</v>
      </c>
      <c r="F12" s="31">
        <v>1</v>
      </c>
      <c r="G12" s="31">
        <v>0</v>
      </c>
      <c r="H12" s="31">
        <v>2</v>
      </c>
      <c r="I12" s="35">
        <v>2</v>
      </c>
      <c r="J12" s="31">
        <v>1</v>
      </c>
      <c r="K12" s="31">
        <v>0</v>
      </c>
      <c r="L12" s="31">
        <v>1</v>
      </c>
      <c r="M12" s="31">
        <v>19</v>
      </c>
      <c r="N12" s="31">
        <v>3</v>
      </c>
      <c r="O12" s="37">
        <v>85.714285714285708</v>
      </c>
      <c r="P12" s="37">
        <v>86.36363636363636</v>
      </c>
      <c r="Q12" s="38">
        <f t="shared" si="0"/>
        <v>85.714285714285708</v>
      </c>
      <c r="R12" s="38">
        <f t="shared" si="1"/>
        <v>86.36363636363636</v>
      </c>
      <c r="S12" s="39" t="b">
        <f t="shared" si="2"/>
        <v>1</v>
      </c>
      <c r="T12" s="39" t="b">
        <f t="shared" si="2"/>
        <v>1</v>
      </c>
    </row>
    <row r="13" spans="1:20" s="40" customFormat="1" ht="28.05" customHeight="1">
      <c r="A13" s="31">
        <v>8</v>
      </c>
      <c r="B13" s="32" t="s">
        <v>61</v>
      </c>
      <c r="C13" s="31">
        <v>15</v>
      </c>
      <c r="D13" s="35">
        <v>12</v>
      </c>
      <c r="E13" s="31">
        <v>10</v>
      </c>
      <c r="F13" s="31">
        <v>1</v>
      </c>
      <c r="G13" s="31">
        <v>0</v>
      </c>
      <c r="H13" s="31">
        <v>1</v>
      </c>
      <c r="I13" s="35">
        <v>3</v>
      </c>
      <c r="J13" s="31">
        <v>1</v>
      </c>
      <c r="K13" s="31">
        <v>0</v>
      </c>
      <c r="L13" s="31">
        <v>2</v>
      </c>
      <c r="M13" s="31">
        <v>12</v>
      </c>
      <c r="N13" s="31">
        <v>3</v>
      </c>
      <c r="O13" s="37">
        <v>84.615384615384613</v>
      </c>
      <c r="P13" s="37">
        <v>80</v>
      </c>
      <c r="Q13" s="38">
        <f t="shared" si="0"/>
        <v>84.615384615384613</v>
      </c>
      <c r="R13" s="38">
        <f t="shared" si="1"/>
        <v>80</v>
      </c>
      <c r="S13" s="39" t="b">
        <f t="shared" si="2"/>
        <v>1</v>
      </c>
      <c r="T13" s="39" t="b">
        <f t="shared" si="2"/>
        <v>1</v>
      </c>
    </row>
    <row r="14" spans="1:20" s="40" customFormat="1" ht="28.05" customHeight="1">
      <c r="A14" s="31">
        <v>9</v>
      </c>
      <c r="B14" s="32" t="s">
        <v>45</v>
      </c>
      <c r="C14" s="33">
        <v>28</v>
      </c>
      <c r="D14" s="34">
        <v>17</v>
      </c>
      <c r="E14" s="33">
        <v>14</v>
      </c>
      <c r="F14" s="33">
        <v>2</v>
      </c>
      <c r="G14" s="33">
        <v>0</v>
      </c>
      <c r="H14" s="31">
        <v>1</v>
      </c>
      <c r="I14" s="35">
        <v>11</v>
      </c>
      <c r="J14" s="31">
        <v>1</v>
      </c>
      <c r="K14" s="31">
        <v>0</v>
      </c>
      <c r="L14" s="31">
        <v>10</v>
      </c>
      <c r="M14" s="31">
        <v>17</v>
      </c>
      <c r="N14" s="31">
        <v>11</v>
      </c>
      <c r="O14" s="37">
        <v>83.333333333333329</v>
      </c>
      <c r="P14" s="37">
        <v>60.714285714285715</v>
      </c>
      <c r="Q14" s="38">
        <f t="shared" si="0"/>
        <v>83.333333333333329</v>
      </c>
      <c r="R14" s="38">
        <f t="shared" si="1"/>
        <v>60.714285714285715</v>
      </c>
      <c r="S14" s="39" t="b">
        <f t="shared" si="2"/>
        <v>1</v>
      </c>
      <c r="T14" s="39" t="b">
        <f t="shared" si="2"/>
        <v>1</v>
      </c>
    </row>
    <row r="15" spans="1:20" s="40" customFormat="1" ht="28.05" customHeight="1">
      <c r="A15" s="31">
        <v>10</v>
      </c>
      <c r="B15" s="32" t="s">
        <v>60</v>
      </c>
      <c r="C15" s="31">
        <v>49</v>
      </c>
      <c r="D15" s="35">
        <v>38</v>
      </c>
      <c r="E15" s="31">
        <v>31</v>
      </c>
      <c r="F15" s="31">
        <v>3</v>
      </c>
      <c r="G15" s="31">
        <v>0</v>
      </c>
      <c r="H15" s="31">
        <v>4</v>
      </c>
      <c r="I15" s="35">
        <v>11</v>
      </c>
      <c r="J15" s="31">
        <v>3</v>
      </c>
      <c r="K15" s="31">
        <v>0</v>
      </c>
      <c r="L15" s="31">
        <v>8</v>
      </c>
      <c r="M15" s="31">
        <v>37</v>
      </c>
      <c r="N15" s="31">
        <v>12</v>
      </c>
      <c r="O15" s="37">
        <v>82.926829268292678</v>
      </c>
      <c r="P15" s="37">
        <v>75.510204081632651</v>
      </c>
      <c r="Q15" s="38">
        <f t="shared" si="0"/>
        <v>82.926829268292678</v>
      </c>
      <c r="R15" s="38">
        <f t="shared" si="1"/>
        <v>75.510204081632651</v>
      </c>
      <c r="S15" s="39" t="b">
        <f t="shared" si="2"/>
        <v>1</v>
      </c>
      <c r="T15" s="39" t="b">
        <f t="shared" si="2"/>
        <v>1</v>
      </c>
    </row>
    <row r="16" spans="1:20" s="40" customFormat="1" ht="28.05" customHeight="1">
      <c r="A16" s="31">
        <v>11</v>
      </c>
      <c r="B16" s="32" t="s">
        <v>42</v>
      </c>
      <c r="C16" s="33">
        <v>33</v>
      </c>
      <c r="D16" s="34">
        <v>23</v>
      </c>
      <c r="E16" s="33">
        <v>18</v>
      </c>
      <c r="F16" s="33">
        <v>3</v>
      </c>
      <c r="G16" s="33">
        <v>0</v>
      </c>
      <c r="H16" s="31">
        <v>2</v>
      </c>
      <c r="I16" s="35">
        <v>10</v>
      </c>
      <c r="J16" s="31">
        <v>5</v>
      </c>
      <c r="K16" s="31">
        <v>0</v>
      </c>
      <c r="L16" s="31">
        <v>5</v>
      </c>
      <c r="M16" s="31">
        <v>26</v>
      </c>
      <c r="N16" s="31">
        <v>7</v>
      </c>
      <c r="O16" s="37">
        <v>82.142857142857139</v>
      </c>
      <c r="P16" s="37">
        <v>78.787878787878782</v>
      </c>
      <c r="Q16" s="38">
        <f t="shared" si="0"/>
        <v>82.142857142857139</v>
      </c>
      <c r="R16" s="38">
        <f t="shared" si="1"/>
        <v>78.787878787878782</v>
      </c>
      <c r="S16" s="39" t="b">
        <f t="shared" si="2"/>
        <v>1</v>
      </c>
      <c r="T16" s="39" t="b">
        <f t="shared" si="2"/>
        <v>1</v>
      </c>
    </row>
    <row r="17" spans="1:20" s="40" customFormat="1" ht="28.05" customHeight="1">
      <c r="A17" s="31">
        <v>12</v>
      </c>
      <c r="B17" s="32" t="s">
        <v>52</v>
      </c>
      <c r="C17" s="31">
        <v>40</v>
      </c>
      <c r="D17" s="35">
        <v>26</v>
      </c>
      <c r="E17" s="31">
        <v>21</v>
      </c>
      <c r="F17" s="31">
        <v>3</v>
      </c>
      <c r="G17" s="31">
        <v>0</v>
      </c>
      <c r="H17" s="31">
        <v>2</v>
      </c>
      <c r="I17" s="35">
        <v>14</v>
      </c>
      <c r="J17" s="31">
        <v>1</v>
      </c>
      <c r="K17" s="31">
        <v>0</v>
      </c>
      <c r="L17" s="31">
        <v>13</v>
      </c>
      <c r="M17" s="31">
        <v>25</v>
      </c>
      <c r="N17" s="31">
        <v>15</v>
      </c>
      <c r="O17" s="37">
        <v>81.481481481481481</v>
      </c>
      <c r="P17" s="37">
        <v>62.5</v>
      </c>
      <c r="Q17" s="38">
        <f t="shared" si="0"/>
        <v>81.481481481481481</v>
      </c>
      <c r="R17" s="38">
        <f t="shared" si="1"/>
        <v>62.5</v>
      </c>
      <c r="S17" s="39" t="b">
        <f t="shared" si="2"/>
        <v>1</v>
      </c>
      <c r="T17" s="39" t="b">
        <f t="shared" si="2"/>
        <v>1</v>
      </c>
    </row>
    <row r="18" spans="1:20" s="40" customFormat="1" ht="28.05" customHeight="1">
      <c r="A18" s="31">
        <v>13</v>
      </c>
      <c r="B18" s="32" t="s">
        <v>54</v>
      </c>
      <c r="C18" s="31">
        <v>36</v>
      </c>
      <c r="D18" s="35">
        <v>26</v>
      </c>
      <c r="E18" s="31">
        <v>21</v>
      </c>
      <c r="F18" s="31">
        <v>5</v>
      </c>
      <c r="G18" s="31">
        <v>0</v>
      </c>
      <c r="H18" s="31">
        <v>0</v>
      </c>
      <c r="I18" s="35">
        <v>10</v>
      </c>
      <c r="J18" s="31">
        <v>0</v>
      </c>
      <c r="K18" s="31">
        <v>0</v>
      </c>
      <c r="L18" s="31">
        <v>10</v>
      </c>
      <c r="M18" s="31">
        <v>26</v>
      </c>
      <c r="N18" s="31">
        <v>10</v>
      </c>
      <c r="O18" s="37">
        <v>80.769230769230774</v>
      </c>
      <c r="P18" s="37">
        <v>72.222222222222229</v>
      </c>
      <c r="Q18" s="38">
        <f t="shared" si="0"/>
        <v>80.769230769230774</v>
      </c>
      <c r="R18" s="38">
        <f t="shared" si="1"/>
        <v>72.222222222222229</v>
      </c>
      <c r="S18" s="39" t="b">
        <f t="shared" si="2"/>
        <v>1</v>
      </c>
      <c r="T18" s="39" t="b">
        <f t="shared" si="2"/>
        <v>1</v>
      </c>
    </row>
    <row r="19" spans="1:20" s="40" customFormat="1" ht="28.05" customHeight="1">
      <c r="A19" s="31">
        <v>14</v>
      </c>
      <c r="B19" s="32" t="s">
        <v>43</v>
      </c>
      <c r="C19" s="33">
        <v>94</v>
      </c>
      <c r="D19" s="34">
        <v>65</v>
      </c>
      <c r="E19" s="33">
        <v>51</v>
      </c>
      <c r="F19" s="33">
        <v>1</v>
      </c>
      <c r="G19" s="33">
        <v>0</v>
      </c>
      <c r="H19" s="31">
        <v>13</v>
      </c>
      <c r="I19" s="35">
        <v>29</v>
      </c>
      <c r="J19" s="31">
        <v>6</v>
      </c>
      <c r="K19" s="31">
        <v>0</v>
      </c>
      <c r="L19" s="31">
        <v>23</v>
      </c>
      <c r="M19" s="31">
        <v>58</v>
      </c>
      <c r="N19" s="31">
        <v>36</v>
      </c>
      <c r="O19" s="37">
        <v>80.281690140845072</v>
      </c>
      <c r="P19" s="37">
        <v>61.702127659574465</v>
      </c>
      <c r="Q19" s="38">
        <f t="shared" si="0"/>
        <v>80.281690140845072</v>
      </c>
      <c r="R19" s="38">
        <f t="shared" si="1"/>
        <v>61.702127659574465</v>
      </c>
      <c r="S19" s="39" t="b">
        <f t="shared" si="2"/>
        <v>1</v>
      </c>
      <c r="T19" s="39" t="b">
        <f t="shared" si="2"/>
        <v>1</v>
      </c>
    </row>
    <row r="20" spans="1:20" s="40" customFormat="1" ht="28.05" customHeight="1">
      <c r="A20" s="31">
        <v>15</v>
      </c>
      <c r="B20" s="41" t="s">
        <v>65</v>
      </c>
      <c r="C20" s="42">
        <v>19</v>
      </c>
      <c r="D20" s="35">
        <v>19</v>
      </c>
      <c r="E20" s="42">
        <v>15</v>
      </c>
      <c r="F20" s="42">
        <v>3</v>
      </c>
      <c r="G20" s="42">
        <v>0</v>
      </c>
      <c r="H20" s="42">
        <v>1</v>
      </c>
      <c r="I20" s="35">
        <v>0</v>
      </c>
      <c r="J20" s="42">
        <v>0</v>
      </c>
      <c r="K20" s="42">
        <v>0</v>
      </c>
      <c r="L20" s="42">
        <v>0</v>
      </c>
      <c r="M20" s="42">
        <v>18</v>
      </c>
      <c r="N20" s="42">
        <v>1</v>
      </c>
      <c r="O20" s="43">
        <v>78.94736842105263</v>
      </c>
      <c r="P20" s="37">
        <v>94.736842105263165</v>
      </c>
      <c r="Q20" s="38">
        <f t="shared" si="0"/>
        <v>78.94736842105263</v>
      </c>
      <c r="R20" s="38">
        <f t="shared" si="1"/>
        <v>94.736842105263165</v>
      </c>
      <c r="S20" s="39" t="b">
        <f t="shared" si="2"/>
        <v>1</v>
      </c>
      <c r="T20" s="39" t="b">
        <f t="shared" si="2"/>
        <v>1</v>
      </c>
    </row>
    <row r="21" spans="1:20" s="40" customFormat="1" ht="28.05" customHeight="1">
      <c r="A21" s="31">
        <v>16</v>
      </c>
      <c r="B21" s="32" t="s">
        <v>44</v>
      </c>
      <c r="C21" s="33">
        <v>54</v>
      </c>
      <c r="D21" s="34">
        <v>44</v>
      </c>
      <c r="E21" s="33">
        <v>33</v>
      </c>
      <c r="F21" s="33">
        <v>4</v>
      </c>
      <c r="G21" s="33">
        <v>0</v>
      </c>
      <c r="H21" s="31">
        <v>7</v>
      </c>
      <c r="I21" s="35">
        <v>10</v>
      </c>
      <c r="J21" s="31">
        <v>5</v>
      </c>
      <c r="K21" s="31">
        <v>0</v>
      </c>
      <c r="L21" s="31">
        <v>5</v>
      </c>
      <c r="M21" s="31">
        <v>42</v>
      </c>
      <c r="N21" s="31">
        <v>12</v>
      </c>
      <c r="O21" s="37">
        <v>77.551020408163268</v>
      </c>
      <c r="P21" s="37">
        <v>77.777777777777771</v>
      </c>
      <c r="Q21" s="38">
        <f t="shared" si="0"/>
        <v>77.551020408163268</v>
      </c>
      <c r="R21" s="38">
        <f t="shared" si="1"/>
        <v>77.777777777777771</v>
      </c>
      <c r="S21" s="39" t="b">
        <f t="shared" si="2"/>
        <v>1</v>
      </c>
      <c r="T21" s="39" t="b">
        <f t="shared" si="2"/>
        <v>1</v>
      </c>
    </row>
    <row r="22" spans="1:20" s="40" customFormat="1" ht="28.05" customHeight="1">
      <c r="A22" s="31">
        <v>17</v>
      </c>
      <c r="B22" s="32" t="s">
        <v>64</v>
      </c>
      <c r="C22" s="31">
        <v>52</v>
      </c>
      <c r="D22" s="35">
        <v>40</v>
      </c>
      <c r="E22" s="31">
        <v>31</v>
      </c>
      <c r="F22" s="31">
        <v>4</v>
      </c>
      <c r="G22" s="31">
        <v>0</v>
      </c>
      <c r="H22" s="31">
        <v>5</v>
      </c>
      <c r="I22" s="35">
        <v>12</v>
      </c>
      <c r="J22" s="31">
        <v>0</v>
      </c>
      <c r="K22" s="31">
        <v>0</v>
      </c>
      <c r="L22" s="31">
        <v>12</v>
      </c>
      <c r="M22" s="31">
        <v>35</v>
      </c>
      <c r="N22" s="31">
        <v>17</v>
      </c>
      <c r="O22" s="37">
        <v>77.5</v>
      </c>
      <c r="P22" s="37">
        <v>67.307692307692307</v>
      </c>
      <c r="Q22" s="38">
        <f t="shared" si="0"/>
        <v>77.5</v>
      </c>
      <c r="R22" s="38">
        <f t="shared" si="1"/>
        <v>67.307692307692307</v>
      </c>
      <c r="S22" s="39" t="b">
        <f t="shared" si="2"/>
        <v>1</v>
      </c>
      <c r="T22" s="39" t="b">
        <f t="shared" si="2"/>
        <v>1</v>
      </c>
    </row>
    <row r="23" spans="1:20" s="40" customFormat="1" ht="28.05" customHeight="1">
      <c r="A23" s="31">
        <v>18</v>
      </c>
      <c r="B23" s="32" t="s">
        <v>50</v>
      </c>
      <c r="C23" s="33">
        <v>47</v>
      </c>
      <c r="D23" s="34">
        <v>34</v>
      </c>
      <c r="E23" s="33">
        <v>25</v>
      </c>
      <c r="F23" s="33">
        <v>3</v>
      </c>
      <c r="G23" s="33">
        <v>0</v>
      </c>
      <c r="H23" s="31">
        <v>6</v>
      </c>
      <c r="I23" s="35">
        <v>13</v>
      </c>
      <c r="J23" s="31">
        <v>3</v>
      </c>
      <c r="K23" s="31">
        <v>0</v>
      </c>
      <c r="L23" s="31">
        <v>10</v>
      </c>
      <c r="M23" s="31">
        <v>31</v>
      </c>
      <c r="N23" s="31">
        <v>16</v>
      </c>
      <c r="O23" s="37">
        <v>75.675675675675677</v>
      </c>
      <c r="P23" s="37">
        <v>65.957446808510639</v>
      </c>
      <c r="Q23" s="38">
        <f t="shared" si="0"/>
        <v>75.675675675675677</v>
      </c>
      <c r="R23" s="38">
        <f t="shared" si="1"/>
        <v>65.957446808510639</v>
      </c>
      <c r="S23" s="39" t="b">
        <f t="shared" si="2"/>
        <v>1</v>
      </c>
      <c r="T23" s="39" t="b">
        <f t="shared" si="2"/>
        <v>1</v>
      </c>
    </row>
    <row r="24" spans="1:20" s="40" customFormat="1" ht="28.05" customHeight="1">
      <c r="A24" s="31">
        <v>19</v>
      </c>
      <c r="B24" s="32" t="s">
        <v>67</v>
      </c>
      <c r="C24" s="31">
        <v>35</v>
      </c>
      <c r="D24" s="35">
        <v>25</v>
      </c>
      <c r="E24" s="31">
        <v>17</v>
      </c>
      <c r="F24" s="31">
        <v>5</v>
      </c>
      <c r="G24" s="31">
        <v>0</v>
      </c>
      <c r="H24" s="31">
        <v>3</v>
      </c>
      <c r="I24" s="35">
        <v>10</v>
      </c>
      <c r="J24" s="31">
        <v>2</v>
      </c>
      <c r="K24" s="31">
        <v>0</v>
      </c>
      <c r="L24" s="31">
        <v>8</v>
      </c>
      <c r="M24" s="31">
        <v>24</v>
      </c>
      <c r="N24" s="31">
        <v>11</v>
      </c>
      <c r="O24" s="37">
        <v>70.370370370370367</v>
      </c>
      <c r="P24" s="37">
        <v>68.571428571428569</v>
      </c>
      <c r="Q24" s="38">
        <f t="shared" si="0"/>
        <v>70.370370370370367</v>
      </c>
      <c r="R24" s="38">
        <f t="shared" si="1"/>
        <v>68.571428571428569</v>
      </c>
      <c r="S24" s="39" t="b">
        <f t="shared" si="2"/>
        <v>1</v>
      </c>
      <c r="T24" s="39" t="b">
        <f t="shared" si="2"/>
        <v>1</v>
      </c>
    </row>
    <row r="25" spans="1:20" s="40" customFormat="1" ht="28.05" customHeight="1">
      <c r="A25" s="31">
        <v>20</v>
      </c>
      <c r="B25" s="32" t="s">
        <v>46</v>
      </c>
      <c r="C25" s="33">
        <v>24</v>
      </c>
      <c r="D25" s="34">
        <v>19</v>
      </c>
      <c r="E25" s="33">
        <v>13</v>
      </c>
      <c r="F25" s="33">
        <v>0</v>
      </c>
      <c r="G25" s="33">
        <v>0</v>
      </c>
      <c r="H25" s="31">
        <v>6</v>
      </c>
      <c r="I25" s="35">
        <v>5</v>
      </c>
      <c r="J25" s="31">
        <v>1</v>
      </c>
      <c r="K25" s="31">
        <v>0</v>
      </c>
      <c r="L25" s="31">
        <v>4</v>
      </c>
      <c r="M25" s="31">
        <v>14</v>
      </c>
      <c r="N25" s="31">
        <v>10</v>
      </c>
      <c r="O25" s="37">
        <v>70</v>
      </c>
      <c r="P25" s="37">
        <v>58.333333333333336</v>
      </c>
      <c r="Q25" s="38">
        <f t="shared" si="0"/>
        <v>70</v>
      </c>
      <c r="R25" s="38">
        <f t="shared" si="1"/>
        <v>58.333333333333336</v>
      </c>
      <c r="S25" s="39" t="b">
        <f t="shared" si="2"/>
        <v>1</v>
      </c>
      <c r="T25" s="39" t="b">
        <f t="shared" si="2"/>
        <v>1</v>
      </c>
    </row>
    <row r="26" spans="1:20" s="40" customFormat="1" ht="28.05" customHeight="1">
      <c r="A26" s="31">
        <v>21</v>
      </c>
      <c r="B26" s="32" t="s">
        <v>71</v>
      </c>
      <c r="C26" s="31">
        <v>77</v>
      </c>
      <c r="D26" s="35">
        <v>58</v>
      </c>
      <c r="E26" s="31">
        <v>37</v>
      </c>
      <c r="F26" s="31">
        <v>10</v>
      </c>
      <c r="G26" s="31">
        <v>0</v>
      </c>
      <c r="H26" s="31">
        <v>11</v>
      </c>
      <c r="I26" s="35">
        <v>19</v>
      </c>
      <c r="J26" s="31">
        <v>2</v>
      </c>
      <c r="K26" s="31">
        <v>0</v>
      </c>
      <c r="L26" s="31">
        <v>17</v>
      </c>
      <c r="M26" s="31">
        <v>49</v>
      </c>
      <c r="N26" s="31">
        <v>28</v>
      </c>
      <c r="O26" s="37">
        <v>65</v>
      </c>
      <c r="P26" s="37">
        <v>63.636363636363633</v>
      </c>
      <c r="Q26" s="38">
        <f t="shared" si="0"/>
        <v>65</v>
      </c>
      <c r="R26" s="38">
        <f t="shared" si="1"/>
        <v>63.636363636363633</v>
      </c>
      <c r="S26" s="39" t="b">
        <f t="shared" si="2"/>
        <v>1</v>
      </c>
      <c r="T26" s="39" t="b">
        <f t="shared" si="2"/>
        <v>1</v>
      </c>
    </row>
    <row r="27" spans="1:20" s="40" customFormat="1" ht="28.05" customHeight="1">
      <c r="A27" s="31">
        <v>22</v>
      </c>
      <c r="B27" s="32" t="s">
        <v>53</v>
      </c>
      <c r="C27" s="31">
        <v>31</v>
      </c>
      <c r="D27" s="35">
        <v>20</v>
      </c>
      <c r="E27" s="31">
        <v>13</v>
      </c>
      <c r="F27" s="31">
        <v>4</v>
      </c>
      <c r="G27" s="31">
        <v>0</v>
      </c>
      <c r="H27" s="31">
        <v>3</v>
      </c>
      <c r="I27" s="35">
        <v>11</v>
      </c>
      <c r="J27" s="31">
        <v>0</v>
      </c>
      <c r="K27" s="31">
        <v>0</v>
      </c>
      <c r="L27" s="31">
        <v>11</v>
      </c>
      <c r="M27" s="31">
        <v>17</v>
      </c>
      <c r="N27" s="31">
        <v>14</v>
      </c>
      <c r="O27" s="37">
        <v>65</v>
      </c>
      <c r="P27" s="37">
        <v>54.838709677419352</v>
      </c>
      <c r="Q27" s="38">
        <f t="shared" si="0"/>
        <v>65</v>
      </c>
      <c r="R27" s="38">
        <f t="shared" si="1"/>
        <v>54.838709677419352</v>
      </c>
      <c r="S27" s="39" t="b">
        <f t="shared" si="2"/>
        <v>1</v>
      </c>
      <c r="T27" s="39" t="b">
        <f t="shared" si="2"/>
        <v>1</v>
      </c>
    </row>
    <row r="28" spans="1:20" s="40" customFormat="1" ht="28.05" customHeight="1">
      <c r="A28" s="31">
        <v>23</v>
      </c>
      <c r="B28" s="32" t="s">
        <v>55</v>
      </c>
      <c r="C28" s="31">
        <v>23</v>
      </c>
      <c r="D28" s="35">
        <v>18</v>
      </c>
      <c r="E28" s="31">
        <v>11</v>
      </c>
      <c r="F28" s="31">
        <v>3</v>
      </c>
      <c r="G28" s="31">
        <v>0</v>
      </c>
      <c r="H28" s="31">
        <v>4</v>
      </c>
      <c r="I28" s="35">
        <v>5</v>
      </c>
      <c r="J28" s="31">
        <v>0</v>
      </c>
      <c r="K28" s="31">
        <v>0</v>
      </c>
      <c r="L28" s="31">
        <v>5</v>
      </c>
      <c r="M28" s="31">
        <v>14</v>
      </c>
      <c r="N28" s="31">
        <v>9</v>
      </c>
      <c r="O28" s="37">
        <v>61.111111111111114</v>
      </c>
      <c r="P28" s="37">
        <v>60.869565217391305</v>
      </c>
      <c r="Q28" s="38">
        <f t="shared" si="0"/>
        <v>61.111111111111114</v>
      </c>
      <c r="R28" s="38">
        <f t="shared" si="1"/>
        <v>60.869565217391305</v>
      </c>
      <c r="S28" s="39" t="b">
        <f t="shared" si="2"/>
        <v>1</v>
      </c>
      <c r="T28" s="39" t="b">
        <f t="shared" si="2"/>
        <v>1</v>
      </c>
    </row>
    <row r="29" spans="1:20" s="40" customFormat="1" ht="28.05" customHeight="1">
      <c r="A29" s="31">
        <v>24</v>
      </c>
      <c r="B29" s="32" t="s">
        <v>62</v>
      </c>
      <c r="C29" s="31">
        <v>42</v>
      </c>
      <c r="D29" s="35">
        <v>27</v>
      </c>
      <c r="E29" s="31">
        <v>16</v>
      </c>
      <c r="F29" s="31">
        <v>2</v>
      </c>
      <c r="G29" s="31">
        <v>0</v>
      </c>
      <c r="H29" s="31">
        <v>9</v>
      </c>
      <c r="I29" s="35">
        <v>15</v>
      </c>
      <c r="J29" s="31">
        <v>1</v>
      </c>
      <c r="K29" s="31">
        <v>0</v>
      </c>
      <c r="L29" s="31">
        <v>14</v>
      </c>
      <c r="M29" s="31">
        <v>19</v>
      </c>
      <c r="N29" s="31">
        <v>23</v>
      </c>
      <c r="O29" s="37">
        <v>60.714285714285715</v>
      </c>
      <c r="P29" s="37">
        <v>45.238095238095241</v>
      </c>
      <c r="Q29" s="38">
        <f t="shared" si="0"/>
        <v>60.714285714285715</v>
      </c>
      <c r="R29" s="38">
        <f t="shared" si="1"/>
        <v>45.238095238095241</v>
      </c>
      <c r="S29" s="39" t="b">
        <f t="shared" si="2"/>
        <v>1</v>
      </c>
      <c r="T29" s="39" t="b">
        <f t="shared" si="2"/>
        <v>1</v>
      </c>
    </row>
    <row r="30" spans="1:20" s="40" customFormat="1" ht="28.05" customHeight="1">
      <c r="A30" s="31">
        <v>25</v>
      </c>
      <c r="B30" s="32" t="s">
        <v>57</v>
      </c>
      <c r="C30" s="31">
        <v>94</v>
      </c>
      <c r="D30" s="35">
        <v>78</v>
      </c>
      <c r="E30" s="31">
        <v>46</v>
      </c>
      <c r="F30" s="31">
        <v>2</v>
      </c>
      <c r="G30" s="31">
        <v>0</v>
      </c>
      <c r="H30" s="31">
        <v>30</v>
      </c>
      <c r="I30" s="35">
        <v>16</v>
      </c>
      <c r="J30" s="31">
        <v>0</v>
      </c>
      <c r="K30" s="31">
        <v>0</v>
      </c>
      <c r="L30" s="31">
        <v>16</v>
      </c>
      <c r="M30" s="31">
        <v>48</v>
      </c>
      <c r="N30" s="31">
        <v>46</v>
      </c>
      <c r="O30" s="37">
        <v>58.974358974358971</v>
      </c>
      <c r="P30" s="37">
        <v>51.063829787234042</v>
      </c>
      <c r="Q30" s="38">
        <f t="shared" si="0"/>
        <v>58.974358974358971</v>
      </c>
      <c r="R30" s="38">
        <f t="shared" si="1"/>
        <v>51.063829787234042</v>
      </c>
      <c r="S30" s="39" t="b">
        <f t="shared" si="2"/>
        <v>1</v>
      </c>
      <c r="T30" s="39" t="b">
        <f t="shared" si="2"/>
        <v>1</v>
      </c>
    </row>
    <row r="31" spans="1:20" s="40" customFormat="1" ht="28.05" customHeight="1">
      <c r="A31" s="31">
        <v>26</v>
      </c>
      <c r="B31" s="32" t="s">
        <v>63</v>
      </c>
      <c r="C31" s="31">
        <v>53</v>
      </c>
      <c r="D31" s="35">
        <v>34</v>
      </c>
      <c r="E31" s="31">
        <v>20</v>
      </c>
      <c r="F31" s="31">
        <v>5</v>
      </c>
      <c r="G31" s="31">
        <v>0</v>
      </c>
      <c r="H31" s="31">
        <v>9</v>
      </c>
      <c r="I31" s="35">
        <v>19</v>
      </c>
      <c r="J31" s="31">
        <v>0</v>
      </c>
      <c r="K31" s="31">
        <v>0</v>
      </c>
      <c r="L31" s="31">
        <v>19</v>
      </c>
      <c r="M31" s="31">
        <v>25</v>
      </c>
      <c r="N31" s="31">
        <v>28</v>
      </c>
      <c r="O31" s="37">
        <v>58.823529411764703</v>
      </c>
      <c r="P31" s="37">
        <v>47.169811320754718</v>
      </c>
      <c r="Q31" s="38">
        <f t="shared" si="0"/>
        <v>58.823529411764703</v>
      </c>
      <c r="R31" s="38">
        <f t="shared" si="1"/>
        <v>47.169811320754718</v>
      </c>
      <c r="S31" s="39" t="b">
        <f t="shared" si="2"/>
        <v>1</v>
      </c>
      <c r="T31" s="39" t="b">
        <f t="shared" si="2"/>
        <v>1</v>
      </c>
    </row>
    <row r="32" spans="1:20" s="44" customFormat="1" ht="28.05" customHeight="1">
      <c r="A32" s="31">
        <v>27</v>
      </c>
      <c r="B32" s="32" t="s">
        <v>59</v>
      </c>
      <c r="C32" s="31">
        <v>97</v>
      </c>
      <c r="D32" s="35">
        <v>72</v>
      </c>
      <c r="E32" s="31">
        <v>40</v>
      </c>
      <c r="F32" s="31">
        <v>9</v>
      </c>
      <c r="G32" s="31">
        <v>0</v>
      </c>
      <c r="H32" s="31">
        <v>23</v>
      </c>
      <c r="I32" s="35">
        <v>25</v>
      </c>
      <c r="J32" s="31">
        <v>3</v>
      </c>
      <c r="K32" s="31">
        <v>0</v>
      </c>
      <c r="L32" s="31">
        <v>22</v>
      </c>
      <c r="M32" s="31">
        <v>52</v>
      </c>
      <c r="N32" s="31">
        <v>45</v>
      </c>
      <c r="O32" s="37">
        <v>57.333333333333336</v>
      </c>
      <c r="P32" s="37">
        <v>53.608247422680414</v>
      </c>
      <c r="Q32" s="38">
        <f t="shared" si="0"/>
        <v>57.333333333333336</v>
      </c>
      <c r="R32" s="38">
        <f t="shared" si="1"/>
        <v>53.608247422680414</v>
      </c>
      <c r="S32" s="39" t="b">
        <f t="shared" si="2"/>
        <v>1</v>
      </c>
      <c r="T32" s="39" t="b">
        <f t="shared" si="2"/>
        <v>1</v>
      </c>
    </row>
    <row r="33" spans="1:20" s="40" customFormat="1" ht="28.05" customHeight="1">
      <c r="A33" s="31">
        <v>28</v>
      </c>
      <c r="B33" s="32" t="s">
        <v>69</v>
      </c>
      <c r="C33" s="31">
        <v>43</v>
      </c>
      <c r="D33" s="35">
        <v>34</v>
      </c>
      <c r="E33" s="31">
        <v>19</v>
      </c>
      <c r="F33" s="31">
        <v>6</v>
      </c>
      <c r="G33" s="31">
        <v>0</v>
      </c>
      <c r="H33" s="31">
        <v>9</v>
      </c>
      <c r="I33" s="35">
        <v>9</v>
      </c>
      <c r="J33" s="31">
        <v>1</v>
      </c>
      <c r="K33" s="31">
        <v>0</v>
      </c>
      <c r="L33" s="31">
        <v>8</v>
      </c>
      <c r="M33" s="31">
        <v>26</v>
      </c>
      <c r="N33" s="31">
        <v>17</v>
      </c>
      <c r="O33" s="37">
        <v>57.142857142857146</v>
      </c>
      <c r="P33" s="37">
        <v>60.465116279069768</v>
      </c>
      <c r="Q33" s="38">
        <f t="shared" si="0"/>
        <v>57.142857142857146</v>
      </c>
      <c r="R33" s="38">
        <f t="shared" si="1"/>
        <v>60.465116279069768</v>
      </c>
      <c r="S33" s="39" t="b">
        <f t="shared" si="2"/>
        <v>1</v>
      </c>
      <c r="T33" s="39" t="b">
        <f t="shared" si="2"/>
        <v>1</v>
      </c>
    </row>
    <row r="34" spans="1:20" s="40" customFormat="1" ht="28.05" customHeight="1">
      <c r="A34" s="31">
        <v>29</v>
      </c>
      <c r="B34" s="32" t="s">
        <v>70</v>
      </c>
      <c r="C34" s="31">
        <v>53</v>
      </c>
      <c r="D34" s="35">
        <v>41</v>
      </c>
      <c r="E34" s="31">
        <v>21</v>
      </c>
      <c r="F34" s="31">
        <v>7</v>
      </c>
      <c r="G34" s="31">
        <v>0</v>
      </c>
      <c r="H34" s="31">
        <v>13</v>
      </c>
      <c r="I34" s="35">
        <v>12</v>
      </c>
      <c r="J34" s="31">
        <v>3</v>
      </c>
      <c r="K34" s="31">
        <v>0</v>
      </c>
      <c r="L34" s="31">
        <v>9</v>
      </c>
      <c r="M34" s="31">
        <v>31</v>
      </c>
      <c r="N34" s="31">
        <v>22</v>
      </c>
      <c r="O34" s="45">
        <v>54.545454545454547</v>
      </c>
      <c r="P34" s="37">
        <v>58.490566037735846</v>
      </c>
      <c r="Q34" s="38">
        <f t="shared" si="0"/>
        <v>54.545454545454547</v>
      </c>
      <c r="R34" s="38">
        <f t="shared" si="1"/>
        <v>58.490566037735846</v>
      </c>
      <c r="S34" s="39" t="b">
        <f t="shared" si="2"/>
        <v>1</v>
      </c>
      <c r="T34" s="39" t="b">
        <f t="shared" si="2"/>
        <v>1</v>
      </c>
    </row>
    <row r="35" spans="1:20" s="40" customFormat="1" ht="28.05" customHeight="1">
      <c r="A35" s="31">
        <v>30</v>
      </c>
      <c r="B35" s="32" t="s">
        <v>68</v>
      </c>
      <c r="C35" s="31">
        <v>52</v>
      </c>
      <c r="D35" s="35">
        <v>43</v>
      </c>
      <c r="E35" s="31">
        <v>22</v>
      </c>
      <c r="F35" s="31">
        <v>2</v>
      </c>
      <c r="G35" s="31">
        <v>0</v>
      </c>
      <c r="H35" s="31">
        <v>19</v>
      </c>
      <c r="I35" s="35">
        <v>9</v>
      </c>
      <c r="J35" s="31">
        <v>1</v>
      </c>
      <c r="K35" s="31">
        <v>0</v>
      </c>
      <c r="L35" s="31">
        <v>8</v>
      </c>
      <c r="M35" s="31">
        <v>25</v>
      </c>
      <c r="N35" s="31">
        <v>27</v>
      </c>
      <c r="O35" s="45">
        <v>52.272727272727273</v>
      </c>
      <c r="P35" s="37">
        <v>48.07692307692308</v>
      </c>
      <c r="Q35" s="38">
        <f t="shared" si="0"/>
        <v>52.272727272727273</v>
      </c>
      <c r="R35" s="38">
        <f t="shared" si="1"/>
        <v>48.07692307692308</v>
      </c>
      <c r="S35" s="39" t="b">
        <f t="shared" si="2"/>
        <v>1</v>
      </c>
      <c r="T35" s="39" t="b">
        <f t="shared" si="2"/>
        <v>1</v>
      </c>
    </row>
    <row r="36" spans="1:20" s="40" customFormat="1" ht="28.05" customHeight="1">
      <c r="A36" s="31">
        <v>31</v>
      </c>
      <c r="B36" s="32" t="s">
        <v>72</v>
      </c>
      <c r="C36" s="31">
        <v>26</v>
      </c>
      <c r="D36" s="35">
        <v>17</v>
      </c>
      <c r="E36" s="31">
        <v>7</v>
      </c>
      <c r="F36" s="31">
        <v>2</v>
      </c>
      <c r="G36" s="31">
        <v>0</v>
      </c>
      <c r="H36" s="31">
        <v>8</v>
      </c>
      <c r="I36" s="35">
        <v>9</v>
      </c>
      <c r="J36" s="31">
        <v>2</v>
      </c>
      <c r="K36" s="31">
        <v>0</v>
      </c>
      <c r="L36" s="31">
        <v>7</v>
      </c>
      <c r="M36" s="31">
        <v>11</v>
      </c>
      <c r="N36" s="31">
        <v>15</v>
      </c>
      <c r="O36" s="45">
        <v>47.368421052631582</v>
      </c>
      <c r="P36" s="37">
        <v>42.307692307692307</v>
      </c>
      <c r="Q36" s="38">
        <f t="shared" si="0"/>
        <v>47.368421052631582</v>
      </c>
      <c r="R36" s="38">
        <f t="shared" si="1"/>
        <v>42.307692307692307</v>
      </c>
      <c r="S36" s="39" t="b">
        <f t="shared" si="2"/>
        <v>1</v>
      </c>
      <c r="T36" s="39" t="b">
        <f t="shared" si="2"/>
        <v>1</v>
      </c>
    </row>
    <row r="37" spans="1:20" s="40" customFormat="1" ht="28.05" customHeight="1">
      <c r="A37" s="31">
        <v>32</v>
      </c>
      <c r="B37" s="32" t="s">
        <v>66</v>
      </c>
      <c r="C37" s="31">
        <v>45</v>
      </c>
      <c r="D37" s="35">
        <v>30</v>
      </c>
      <c r="E37" s="31">
        <v>13</v>
      </c>
      <c r="F37" s="31">
        <v>3</v>
      </c>
      <c r="G37" s="31">
        <v>0</v>
      </c>
      <c r="H37" s="31">
        <v>14</v>
      </c>
      <c r="I37" s="35">
        <v>15</v>
      </c>
      <c r="J37" s="31">
        <v>1</v>
      </c>
      <c r="K37" s="31">
        <v>0</v>
      </c>
      <c r="L37" s="31">
        <v>14</v>
      </c>
      <c r="M37" s="31">
        <v>17</v>
      </c>
      <c r="N37" s="31">
        <v>28</v>
      </c>
      <c r="O37" s="45">
        <v>45.161290322580648</v>
      </c>
      <c r="P37" s="37">
        <v>37.777777777777779</v>
      </c>
      <c r="Q37" s="38">
        <f t="shared" si="0"/>
        <v>45.161290322580648</v>
      </c>
      <c r="R37" s="38">
        <f t="shared" si="1"/>
        <v>37.777777777777779</v>
      </c>
      <c r="S37" s="39" t="b">
        <f t="shared" si="2"/>
        <v>1</v>
      </c>
      <c r="T37" s="39" t="b">
        <f t="shared" si="2"/>
        <v>1</v>
      </c>
    </row>
    <row r="38" spans="1:20" s="40" customFormat="1" ht="28.05" customHeight="1">
      <c r="A38" s="31">
        <v>33</v>
      </c>
      <c r="B38" s="32" t="s">
        <v>73</v>
      </c>
      <c r="C38" s="31">
        <v>26</v>
      </c>
      <c r="D38" s="35">
        <v>19</v>
      </c>
      <c r="E38" s="31">
        <v>8</v>
      </c>
      <c r="F38" s="31">
        <v>3</v>
      </c>
      <c r="G38" s="31">
        <v>0</v>
      </c>
      <c r="H38" s="31">
        <v>8</v>
      </c>
      <c r="I38" s="35">
        <v>7</v>
      </c>
      <c r="J38" s="31">
        <v>1</v>
      </c>
      <c r="K38" s="31">
        <v>0</v>
      </c>
      <c r="L38" s="31">
        <v>6</v>
      </c>
      <c r="M38" s="31">
        <v>12</v>
      </c>
      <c r="N38" s="31">
        <v>14</v>
      </c>
      <c r="O38" s="45">
        <v>45</v>
      </c>
      <c r="P38" s="37">
        <v>46.153846153846153</v>
      </c>
      <c r="Q38" s="38">
        <f t="shared" si="0"/>
        <v>45</v>
      </c>
      <c r="R38" s="38">
        <f t="shared" si="1"/>
        <v>46.153846153846153</v>
      </c>
      <c r="S38" s="39" t="b">
        <f t="shared" si="2"/>
        <v>1</v>
      </c>
      <c r="T38" s="39" t="b">
        <f t="shared" si="2"/>
        <v>1</v>
      </c>
    </row>
    <row r="39" spans="1:20" s="40" customFormat="1" ht="28.05" customHeight="1">
      <c r="A39" s="31">
        <v>34</v>
      </c>
      <c r="B39" s="32" t="s">
        <v>74</v>
      </c>
      <c r="C39" s="31">
        <v>0</v>
      </c>
      <c r="D39" s="35">
        <v>0</v>
      </c>
      <c r="E39" s="31">
        <v>0</v>
      </c>
      <c r="F39" s="31">
        <v>0</v>
      </c>
      <c r="G39" s="31">
        <v>0</v>
      </c>
      <c r="H39" s="31">
        <v>0</v>
      </c>
      <c r="I39" s="35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7">
        <v>0</v>
      </c>
      <c r="P39" s="37">
        <v>0</v>
      </c>
      <c r="Q39" s="38">
        <f t="shared" si="0"/>
        <v>0</v>
      </c>
      <c r="R39" s="38">
        <f t="shared" si="1"/>
        <v>0</v>
      </c>
      <c r="S39" s="39" t="b">
        <f t="shared" si="2"/>
        <v>1</v>
      </c>
      <c r="T39" s="39" t="b">
        <f t="shared" si="2"/>
        <v>1</v>
      </c>
    </row>
    <row r="40" spans="1:20" s="40" customFormat="1" ht="25.05" customHeight="1">
      <c r="A40" s="46" t="s">
        <v>75</v>
      </c>
      <c r="B40" s="46"/>
      <c r="C40" s="47">
        <f>SUM(C6:C39)</f>
        <v>1523</v>
      </c>
      <c r="D40" s="48">
        <f t="shared" ref="D40:N40" si="3">SUM(D6:D39)</f>
        <v>1137</v>
      </c>
      <c r="E40" s="47">
        <f t="shared" si="3"/>
        <v>801</v>
      </c>
      <c r="F40" s="47">
        <f t="shared" si="3"/>
        <v>107</v>
      </c>
      <c r="G40" s="47">
        <f t="shared" si="3"/>
        <v>0</v>
      </c>
      <c r="H40" s="47">
        <f t="shared" si="3"/>
        <v>229</v>
      </c>
      <c r="I40" s="48">
        <f t="shared" si="3"/>
        <v>386</v>
      </c>
      <c r="J40" s="47">
        <f t="shared" si="3"/>
        <v>76</v>
      </c>
      <c r="K40" s="47">
        <f t="shared" si="3"/>
        <v>0</v>
      </c>
      <c r="L40" s="47">
        <f t="shared" si="3"/>
        <v>310</v>
      </c>
      <c r="M40" s="47">
        <f t="shared" si="3"/>
        <v>984</v>
      </c>
      <c r="N40" s="47">
        <f t="shared" si="3"/>
        <v>539</v>
      </c>
      <c r="O40" s="49">
        <f>IFERROR((E40+J40)*100/(D40+J40),0)</f>
        <v>72.300082440230838</v>
      </c>
      <c r="P40" s="49">
        <f>IFERROR(M40*100/C40,0)</f>
        <v>64.609323703217328</v>
      </c>
      <c r="Q40" s="38">
        <f>IFERROR((E40+J40)*100/(D40+J40),0)</f>
        <v>72.300082440230838</v>
      </c>
      <c r="R40" s="38">
        <f>IFERROR(M40*100/C40,0)</f>
        <v>64.609323703217328</v>
      </c>
      <c r="S40" s="39" t="b">
        <f t="shared" ref="S40:T40" si="4">O40=Q40</f>
        <v>1</v>
      </c>
      <c r="T40" s="39" t="b">
        <f t="shared" si="4"/>
        <v>1</v>
      </c>
    </row>
    <row r="45" spans="1:20">
      <c r="E45" s="51">
        <f>(E38+J38)*100/(D38+J38)</f>
        <v>45</v>
      </c>
    </row>
  </sheetData>
  <mergeCells count="11">
    <mergeCell ref="A40:B40"/>
    <mergeCell ref="A1:P1"/>
    <mergeCell ref="A2:A3"/>
    <mergeCell ref="B2:B3"/>
    <mergeCell ref="C2:C3"/>
    <mergeCell ref="D2:H2"/>
    <mergeCell ref="I2:L2"/>
    <mergeCell ref="M2:M3"/>
    <mergeCell ref="N2:N3"/>
    <mergeCell ref="O2:O3"/>
    <mergeCell ref="P2:P3"/>
  </mergeCells>
  <conditionalFormatting sqref="S1:T1048576">
    <cfRule type="containsText" dxfId="2" priority="1" operator="containsText" text="FALSE">
      <formula>NOT(ISERROR(SEARCH("FALSE",S1)))</formula>
    </cfRule>
  </conditionalFormatting>
  <printOptions horizontalCentered="1"/>
  <pageMargins left="0.55118110236220474" right="0.55118110236220474" top="0.98425196850393704" bottom="0.98425196850393704" header="0.51181102362204722" footer="0.51181102362204722"/>
  <pageSetup paperSize="5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FF690-7A4C-49FB-91AA-722500DD06C7}">
  <sheetPr codeName="Sheet18">
    <tabColor rgb="FF7030A0"/>
  </sheetPr>
  <dimension ref="A1:T42"/>
  <sheetViews>
    <sheetView showGridLines="0" workbookViewId="0">
      <pane ySplit="5" topLeftCell="A39" activePane="bottomLeft" state="frozen"/>
      <selection pane="bottomLeft" activeCell="A6" sqref="A6:P39"/>
    </sheetView>
  </sheetViews>
  <sheetFormatPr defaultRowHeight="14.4"/>
  <cols>
    <col min="1" max="1" width="5.77734375" customWidth="1"/>
    <col min="2" max="2" width="20.77734375" style="50" customWidth="1"/>
    <col min="3" max="3" width="12.21875" style="51" bestFit="1" customWidth="1"/>
    <col min="4" max="4" width="18.77734375" style="51" customWidth="1"/>
    <col min="5" max="6" width="14.77734375" style="51" customWidth="1"/>
    <col min="7" max="7" width="13.6640625" style="51" customWidth="1"/>
    <col min="8" max="8" width="11.77734375" style="51" customWidth="1"/>
    <col min="9" max="11" width="14.77734375" style="51" customWidth="1"/>
    <col min="12" max="12" width="11.33203125" style="51" bestFit="1" customWidth="1"/>
    <col min="13" max="13" width="11.21875" style="51" bestFit="1" customWidth="1"/>
    <col min="14" max="14" width="8.77734375" style="51" bestFit="1" customWidth="1"/>
    <col min="15" max="15" width="16.109375" style="51" customWidth="1"/>
    <col min="16" max="16" width="14.5546875" customWidth="1"/>
    <col min="17" max="20" width="0" hidden="1" customWidth="1"/>
  </cols>
  <sheetData>
    <row r="1" spans="1:20" s="3" customFormat="1" ht="30" customHeight="1">
      <c r="A1" s="1" t="str">
        <f ca="1">"CHITTOOR DISTRICT - 90 DAYS INVESTIGATION CASES REPORTED FROM 01-07-2024 TO " &amp;
" TO " &amp;TEXT(TODAY()-1,"dd-mm-yyyy")</f>
        <v>CHITTOOR DISTRICT - 90 DAYS INVESTIGATION CASES REPORTED FROM 01-07-2024 TO  TO 02-06-2026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0" s="3" customFormat="1" ht="30" customHeight="1">
      <c r="A2" s="4" t="s">
        <v>0</v>
      </c>
      <c r="B2" s="4" t="s">
        <v>1</v>
      </c>
      <c r="C2" s="5" t="s">
        <v>2</v>
      </c>
      <c r="D2" s="6" t="s">
        <v>76</v>
      </c>
      <c r="E2" s="6"/>
      <c r="F2" s="6"/>
      <c r="G2" s="6"/>
      <c r="H2" s="6"/>
      <c r="I2" s="7" t="s">
        <v>77</v>
      </c>
      <c r="J2" s="7"/>
      <c r="K2" s="7"/>
      <c r="L2" s="7"/>
      <c r="M2" s="8" t="s">
        <v>5</v>
      </c>
      <c r="N2" s="9" t="s">
        <v>6</v>
      </c>
      <c r="O2" s="10" t="s">
        <v>7</v>
      </c>
      <c r="P2" s="11" t="s">
        <v>8</v>
      </c>
    </row>
    <row r="3" spans="1:20" s="16" customFormat="1" ht="48.6" customHeight="1">
      <c r="A3" s="12"/>
      <c r="B3" s="12"/>
      <c r="C3" s="5"/>
      <c r="D3" s="13" t="s">
        <v>78</v>
      </c>
      <c r="E3" s="13" t="s">
        <v>79</v>
      </c>
      <c r="F3" s="13" t="s">
        <v>80</v>
      </c>
      <c r="G3" s="13" t="s">
        <v>12</v>
      </c>
      <c r="H3" s="13" t="s">
        <v>81</v>
      </c>
      <c r="I3" s="14" t="s">
        <v>82</v>
      </c>
      <c r="J3" s="14" t="s">
        <v>83</v>
      </c>
      <c r="K3" s="14" t="s">
        <v>16</v>
      </c>
      <c r="L3" s="14" t="s">
        <v>84</v>
      </c>
      <c r="M3" s="8"/>
      <c r="N3" s="9"/>
      <c r="O3" s="52"/>
      <c r="P3" s="11"/>
    </row>
    <row r="4" spans="1:20" s="2" customFormat="1" ht="19.95" customHeight="1">
      <c r="A4" s="17" t="s">
        <v>18</v>
      </c>
      <c r="B4" s="17" t="s">
        <v>19</v>
      </c>
      <c r="C4" s="18" t="s">
        <v>20</v>
      </c>
      <c r="D4" s="19" t="s">
        <v>21</v>
      </c>
      <c r="E4" s="19" t="s">
        <v>22</v>
      </c>
      <c r="F4" s="19" t="s">
        <v>23</v>
      </c>
      <c r="G4" s="19" t="s">
        <v>24</v>
      </c>
      <c r="H4" s="19" t="s">
        <v>25</v>
      </c>
      <c r="I4" s="20" t="s">
        <v>26</v>
      </c>
      <c r="J4" s="20" t="s">
        <v>27</v>
      </c>
      <c r="K4" s="20" t="s">
        <v>28</v>
      </c>
      <c r="L4" s="20" t="s">
        <v>29</v>
      </c>
      <c r="M4" s="21" t="s">
        <v>30</v>
      </c>
      <c r="N4" s="22" t="s">
        <v>31</v>
      </c>
      <c r="O4" s="23" t="s">
        <v>32</v>
      </c>
      <c r="P4" s="24" t="s">
        <v>33</v>
      </c>
    </row>
    <row r="5" spans="1:20" s="15" customFormat="1" ht="19.95" customHeight="1">
      <c r="A5" s="25"/>
      <c r="B5" s="25"/>
      <c r="C5" s="26" t="s">
        <v>34</v>
      </c>
      <c r="D5" s="27" t="s">
        <v>35</v>
      </c>
      <c r="E5" s="27"/>
      <c r="F5" s="27"/>
      <c r="G5" s="27"/>
      <c r="H5" s="27"/>
      <c r="I5" s="28" t="s">
        <v>36</v>
      </c>
      <c r="J5" s="28"/>
      <c r="K5" s="28"/>
      <c r="L5" s="28"/>
      <c r="M5" s="21" t="s">
        <v>37</v>
      </c>
      <c r="N5" s="22" t="s">
        <v>38</v>
      </c>
      <c r="O5" s="29" t="s">
        <v>39</v>
      </c>
      <c r="P5" s="30" t="s">
        <v>40</v>
      </c>
    </row>
    <row r="6" spans="1:20" s="40" customFormat="1" ht="25.05" customHeight="1">
      <c r="A6" s="31">
        <v>1</v>
      </c>
      <c r="B6" s="32" t="s">
        <v>45</v>
      </c>
      <c r="C6" s="33">
        <v>3</v>
      </c>
      <c r="D6" s="34">
        <v>3</v>
      </c>
      <c r="E6" s="33">
        <v>3</v>
      </c>
      <c r="F6" s="33">
        <v>0</v>
      </c>
      <c r="G6" s="33">
        <v>0</v>
      </c>
      <c r="H6" s="31">
        <v>0</v>
      </c>
      <c r="I6" s="35">
        <v>0</v>
      </c>
      <c r="J6" s="31">
        <v>0</v>
      </c>
      <c r="K6" s="31">
        <v>0</v>
      </c>
      <c r="L6" s="31">
        <v>0</v>
      </c>
      <c r="M6" s="31">
        <v>3</v>
      </c>
      <c r="N6" s="31">
        <v>0</v>
      </c>
      <c r="O6" s="36">
        <v>100</v>
      </c>
      <c r="P6" s="37">
        <v>100</v>
      </c>
      <c r="Q6" s="38">
        <f>IFERROR((E6+J6)*100/(D6+J6),0)</f>
        <v>100</v>
      </c>
      <c r="R6" s="38">
        <f>IFERROR(M6*100/C6,0)</f>
        <v>100</v>
      </c>
      <c r="S6" s="39" t="b">
        <f>O6=Q6</f>
        <v>1</v>
      </c>
      <c r="T6" s="39" t="b">
        <f>P6=R6</f>
        <v>1</v>
      </c>
    </row>
    <row r="7" spans="1:20" s="40" customFormat="1" ht="25.05" customHeight="1">
      <c r="A7" s="31">
        <v>2</v>
      </c>
      <c r="B7" s="32" t="s">
        <v>61</v>
      </c>
      <c r="C7" s="31">
        <v>8</v>
      </c>
      <c r="D7" s="35">
        <v>6</v>
      </c>
      <c r="E7" s="31">
        <v>5</v>
      </c>
      <c r="F7" s="31">
        <v>0</v>
      </c>
      <c r="G7" s="31">
        <v>0</v>
      </c>
      <c r="H7" s="31">
        <v>1</v>
      </c>
      <c r="I7" s="35">
        <v>2</v>
      </c>
      <c r="J7" s="31">
        <v>2</v>
      </c>
      <c r="K7" s="31">
        <v>0</v>
      </c>
      <c r="L7" s="31">
        <v>0</v>
      </c>
      <c r="M7" s="31">
        <v>7</v>
      </c>
      <c r="N7" s="31">
        <v>1</v>
      </c>
      <c r="O7" s="36">
        <v>87.5</v>
      </c>
      <c r="P7" s="37">
        <v>87.5</v>
      </c>
      <c r="Q7" s="38">
        <f t="shared" ref="Q7:Q39" si="0">IFERROR((E7+J7)*100/(D7+J7),0)</f>
        <v>87.5</v>
      </c>
      <c r="R7" s="38">
        <f t="shared" ref="R7:R39" si="1">IFERROR(M7*100/C7,0)</f>
        <v>87.5</v>
      </c>
      <c r="S7" s="39" t="b">
        <f t="shared" ref="S7:T39" si="2">O7=Q7</f>
        <v>1</v>
      </c>
      <c r="T7" s="39" t="b">
        <f t="shared" si="2"/>
        <v>1</v>
      </c>
    </row>
    <row r="8" spans="1:20" s="40" customFormat="1" ht="25.05" customHeight="1">
      <c r="A8" s="31">
        <v>3</v>
      </c>
      <c r="B8" s="32" t="s">
        <v>44</v>
      </c>
      <c r="C8" s="33">
        <v>14</v>
      </c>
      <c r="D8" s="34">
        <v>13</v>
      </c>
      <c r="E8" s="33">
        <v>11</v>
      </c>
      <c r="F8" s="33">
        <v>2</v>
      </c>
      <c r="G8" s="33">
        <v>0</v>
      </c>
      <c r="H8" s="31">
        <v>0</v>
      </c>
      <c r="I8" s="35">
        <v>1</v>
      </c>
      <c r="J8" s="31">
        <v>0</v>
      </c>
      <c r="K8" s="31">
        <v>0</v>
      </c>
      <c r="L8" s="31">
        <v>1</v>
      </c>
      <c r="M8" s="31">
        <v>13</v>
      </c>
      <c r="N8" s="31">
        <v>1</v>
      </c>
      <c r="O8" s="36">
        <v>84.615384615384613</v>
      </c>
      <c r="P8" s="37">
        <v>92.857142857142861</v>
      </c>
      <c r="Q8" s="38">
        <f t="shared" si="0"/>
        <v>84.615384615384613</v>
      </c>
      <c r="R8" s="38">
        <f t="shared" si="1"/>
        <v>92.857142857142861</v>
      </c>
      <c r="S8" s="39" t="b">
        <f t="shared" si="2"/>
        <v>1</v>
      </c>
      <c r="T8" s="39" t="b">
        <f t="shared" si="2"/>
        <v>1</v>
      </c>
    </row>
    <row r="9" spans="1:20" s="40" customFormat="1" ht="25.05" customHeight="1">
      <c r="A9" s="31">
        <v>4</v>
      </c>
      <c r="B9" s="32" t="s">
        <v>50</v>
      </c>
      <c r="C9" s="33">
        <v>12</v>
      </c>
      <c r="D9" s="34">
        <v>11</v>
      </c>
      <c r="E9" s="33">
        <v>8</v>
      </c>
      <c r="F9" s="33">
        <v>2</v>
      </c>
      <c r="G9" s="33">
        <v>0</v>
      </c>
      <c r="H9" s="31">
        <v>1</v>
      </c>
      <c r="I9" s="35">
        <v>1</v>
      </c>
      <c r="J9" s="31">
        <v>0</v>
      </c>
      <c r="K9" s="31">
        <v>0</v>
      </c>
      <c r="L9" s="31">
        <v>1</v>
      </c>
      <c r="M9" s="31">
        <v>10</v>
      </c>
      <c r="N9" s="31">
        <v>2</v>
      </c>
      <c r="O9" s="36">
        <v>72.727272727272734</v>
      </c>
      <c r="P9" s="37">
        <v>83.333333333333329</v>
      </c>
      <c r="Q9" s="38">
        <f t="shared" si="0"/>
        <v>72.727272727272734</v>
      </c>
      <c r="R9" s="38">
        <f t="shared" si="1"/>
        <v>83.333333333333329</v>
      </c>
      <c r="S9" s="39" t="b">
        <f t="shared" si="2"/>
        <v>1</v>
      </c>
      <c r="T9" s="39" t="b">
        <f t="shared" si="2"/>
        <v>1</v>
      </c>
    </row>
    <row r="10" spans="1:20" s="40" customFormat="1" ht="25.05" customHeight="1">
      <c r="A10" s="31">
        <v>5</v>
      </c>
      <c r="B10" s="32" t="s">
        <v>69</v>
      </c>
      <c r="C10" s="31">
        <v>16</v>
      </c>
      <c r="D10" s="35">
        <v>16</v>
      </c>
      <c r="E10" s="31">
        <v>11</v>
      </c>
      <c r="F10" s="31">
        <v>2</v>
      </c>
      <c r="G10" s="31">
        <v>0</v>
      </c>
      <c r="H10" s="31">
        <v>3</v>
      </c>
      <c r="I10" s="35">
        <v>0</v>
      </c>
      <c r="J10" s="31">
        <v>0</v>
      </c>
      <c r="K10" s="31">
        <v>0</v>
      </c>
      <c r="L10" s="31">
        <v>0</v>
      </c>
      <c r="M10" s="31">
        <v>13</v>
      </c>
      <c r="N10" s="31">
        <v>3</v>
      </c>
      <c r="O10" s="36">
        <v>68.75</v>
      </c>
      <c r="P10" s="37">
        <v>81.25</v>
      </c>
      <c r="Q10" s="38">
        <f t="shared" si="0"/>
        <v>68.75</v>
      </c>
      <c r="R10" s="38">
        <f t="shared" si="1"/>
        <v>81.25</v>
      </c>
      <c r="S10" s="39" t="b">
        <f t="shared" si="2"/>
        <v>1</v>
      </c>
      <c r="T10" s="39" t="b">
        <f t="shared" si="2"/>
        <v>1</v>
      </c>
    </row>
    <row r="11" spans="1:20" s="40" customFormat="1" ht="25.05" customHeight="1">
      <c r="A11" s="31">
        <v>6</v>
      </c>
      <c r="B11" s="32" t="s">
        <v>58</v>
      </c>
      <c r="C11" s="31">
        <v>7</v>
      </c>
      <c r="D11" s="35">
        <v>6</v>
      </c>
      <c r="E11" s="31">
        <v>4</v>
      </c>
      <c r="F11" s="31">
        <v>1</v>
      </c>
      <c r="G11" s="31">
        <v>0</v>
      </c>
      <c r="H11" s="31">
        <v>1</v>
      </c>
      <c r="I11" s="35">
        <v>1</v>
      </c>
      <c r="J11" s="31">
        <v>0</v>
      </c>
      <c r="K11" s="31">
        <v>0</v>
      </c>
      <c r="L11" s="31">
        <v>1</v>
      </c>
      <c r="M11" s="31">
        <v>5</v>
      </c>
      <c r="N11" s="31">
        <v>2</v>
      </c>
      <c r="O11" s="37">
        <v>66.666666666666671</v>
      </c>
      <c r="P11" s="37">
        <v>71.428571428571431</v>
      </c>
      <c r="Q11" s="38">
        <f t="shared" si="0"/>
        <v>66.666666666666671</v>
      </c>
      <c r="R11" s="38">
        <f t="shared" si="1"/>
        <v>71.428571428571431</v>
      </c>
      <c r="S11" s="39" t="b">
        <f t="shared" si="2"/>
        <v>1</v>
      </c>
      <c r="T11" s="39" t="b">
        <f t="shared" si="2"/>
        <v>1</v>
      </c>
    </row>
    <row r="12" spans="1:20" s="40" customFormat="1" ht="25.05" customHeight="1">
      <c r="A12" s="31">
        <v>7</v>
      </c>
      <c r="B12" s="32" t="s">
        <v>47</v>
      </c>
      <c r="C12" s="31">
        <v>27</v>
      </c>
      <c r="D12" s="35">
        <v>25</v>
      </c>
      <c r="E12" s="31">
        <v>16</v>
      </c>
      <c r="F12" s="31">
        <v>6</v>
      </c>
      <c r="G12" s="31">
        <v>0</v>
      </c>
      <c r="H12" s="31">
        <v>3</v>
      </c>
      <c r="I12" s="35">
        <v>2</v>
      </c>
      <c r="J12" s="31">
        <v>1</v>
      </c>
      <c r="K12" s="31">
        <v>0</v>
      </c>
      <c r="L12" s="31">
        <v>1</v>
      </c>
      <c r="M12" s="31">
        <v>23</v>
      </c>
      <c r="N12" s="31">
        <v>4</v>
      </c>
      <c r="O12" s="37">
        <v>65.384615384615387</v>
      </c>
      <c r="P12" s="37">
        <v>85.18518518518519</v>
      </c>
      <c r="Q12" s="38">
        <f t="shared" si="0"/>
        <v>65.384615384615387</v>
      </c>
      <c r="R12" s="38">
        <f t="shared" si="1"/>
        <v>85.18518518518519</v>
      </c>
      <c r="S12" s="39" t="b">
        <f t="shared" si="2"/>
        <v>1</v>
      </c>
      <c r="T12" s="39" t="b">
        <f t="shared" si="2"/>
        <v>1</v>
      </c>
    </row>
    <row r="13" spans="1:20" s="40" customFormat="1" ht="25.05" customHeight="1">
      <c r="A13" s="31">
        <v>8</v>
      </c>
      <c r="B13" s="32" t="s">
        <v>62</v>
      </c>
      <c r="C13" s="31">
        <v>36</v>
      </c>
      <c r="D13" s="35">
        <v>33</v>
      </c>
      <c r="E13" s="31">
        <v>19</v>
      </c>
      <c r="F13" s="31">
        <v>7</v>
      </c>
      <c r="G13" s="31">
        <v>0</v>
      </c>
      <c r="H13" s="31">
        <v>7</v>
      </c>
      <c r="I13" s="35">
        <v>3</v>
      </c>
      <c r="J13" s="31">
        <v>1</v>
      </c>
      <c r="K13" s="31">
        <v>0</v>
      </c>
      <c r="L13" s="31">
        <v>2</v>
      </c>
      <c r="M13" s="31">
        <v>27</v>
      </c>
      <c r="N13" s="31">
        <v>9</v>
      </c>
      <c r="O13" s="37">
        <v>58.823529411764703</v>
      </c>
      <c r="P13" s="37">
        <v>75</v>
      </c>
      <c r="Q13" s="38">
        <f t="shared" si="0"/>
        <v>58.823529411764703</v>
      </c>
      <c r="R13" s="38">
        <f t="shared" si="1"/>
        <v>75</v>
      </c>
      <c r="S13" s="39" t="b">
        <f t="shared" si="2"/>
        <v>1</v>
      </c>
      <c r="T13" s="39" t="b">
        <f t="shared" si="2"/>
        <v>1</v>
      </c>
    </row>
    <row r="14" spans="1:20" s="40" customFormat="1" ht="25.05" customHeight="1">
      <c r="A14" s="31">
        <v>9</v>
      </c>
      <c r="B14" s="32" t="s">
        <v>49</v>
      </c>
      <c r="C14" s="31">
        <v>18</v>
      </c>
      <c r="D14" s="35">
        <v>17</v>
      </c>
      <c r="E14" s="31">
        <v>10</v>
      </c>
      <c r="F14" s="31">
        <v>5</v>
      </c>
      <c r="G14" s="31">
        <v>0</v>
      </c>
      <c r="H14" s="31">
        <v>2</v>
      </c>
      <c r="I14" s="35">
        <v>1</v>
      </c>
      <c r="J14" s="31">
        <v>0</v>
      </c>
      <c r="K14" s="31">
        <v>0</v>
      </c>
      <c r="L14" s="31">
        <v>1</v>
      </c>
      <c r="M14" s="31">
        <v>15</v>
      </c>
      <c r="N14" s="31">
        <v>3</v>
      </c>
      <c r="O14" s="37">
        <v>58.823529411764703</v>
      </c>
      <c r="P14" s="37">
        <v>83.333333333333329</v>
      </c>
      <c r="Q14" s="38">
        <f t="shared" si="0"/>
        <v>58.823529411764703</v>
      </c>
      <c r="R14" s="38">
        <f t="shared" si="1"/>
        <v>83.333333333333329</v>
      </c>
      <c r="S14" s="39" t="b">
        <f t="shared" si="2"/>
        <v>1</v>
      </c>
      <c r="T14" s="39" t="b">
        <f t="shared" si="2"/>
        <v>1</v>
      </c>
    </row>
    <row r="15" spans="1:20" s="40" customFormat="1" ht="25.05" customHeight="1">
      <c r="A15" s="31">
        <v>10</v>
      </c>
      <c r="B15" s="32" t="s">
        <v>52</v>
      </c>
      <c r="C15" s="31">
        <v>9</v>
      </c>
      <c r="D15" s="35">
        <v>7</v>
      </c>
      <c r="E15" s="31">
        <v>4</v>
      </c>
      <c r="F15" s="31">
        <v>3</v>
      </c>
      <c r="G15" s="31">
        <v>0</v>
      </c>
      <c r="H15" s="31">
        <v>0</v>
      </c>
      <c r="I15" s="35">
        <v>2</v>
      </c>
      <c r="J15" s="31">
        <v>0</v>
      </c>
      <c r="K15" s="31">
        <v>0</v>
      </c>
      <c r="L15" s="31">
        <v>2</v>
      </c>
      <c r="M15" s="31">
        <v>7</v>
      </c>
      <c r="N15" s="31">
        <v>2</v>
      </c>
      <c r="O15" s="37">
        <v>57.142857142857146</v>
      </c>
      <c r="P15" s="37">
        <v>77.777777777777771</v>
      </c>
      <c r="Q15" s="38">
        <f t="shared" si="0"/>
        <v>57.142857142857146</v>
      </c>
      <c r="R15" s="38">
        <f t="shared" si="1"/>
        <v>77.777777777777771</v>
      </c>
      <c r="S15" s="39" t="b">
        <f t="shared" si="2"/>
        <v>1</v>
      </c>
      <c r="T15" s="39" t="b">
        <f t="shared" si="2"/>
        <v>1</v>
      </c>
    </row>
    <row r="16" spans="1:20" s="40" customFormat="1" ht="25.05" customHeight="1">
      <c r="A16" s="31">
        <v>11</v>
      </c>
      <c r="B16" s="32" t="s">
        <v>55</v>
      </c>
      <c r="C16" s="31">
        <v>8</v>
      </c>
      <c r="D16" s="35">
        <v>7</v>
      </c>
      <c r="E16" s="31">
        <v>4</v>
      </c>
      <c r="F16" s="31">
        <v>2</v>
      </c>
      <c r="G16" s="31">
        <v>0</v>
      </c>
      <c r="H16" s="31">
        <v>1</v>
      </c>
      <c r="I16" s="35">
        <v>1</v>
      </c>
      <c r="J16" s="31">
        <v>0</v>
      </c>
      <c r="K16" s="31">
        <v>0</v>
      </c>
      <c r="L16" s="31">
        <v>1</v>
      </c>
      <c r="M16" s="31">
        <v>6</v>
      </c>
      <c r="N16" s="31">
        <v>2</v>
      </c>
      <c r="O16" s="37">
        <v>57.142857142857146</v>
      </c>
      <c r="P16" s="37">
        <v>75</v>
      </c>
      <c r="Q16" s="38">
        <f t="shared" si="0"/>
        <v>57.142857142857146</v>
      </c>
      <c r="R16" s="38">
        <f t="shared" si="1"/>
        <v>75</v>
      </c>
      <c r="S16" s="39" t="b">
        <f t="shared" si="2"/>
        <v>1</v>
      </c>
      <c r="T16" s="39" t="b">
        <f t="shared" si="2"/>
        <v>1</v>
      </c>
    </row>
    <row r="17" spans="1:20" s="40" customFormat="1" ht="25.05" customHeight="1">
      <c r="A17" s="31">
        <v>12</v>
      </c>
      <c r="B17" s="32" t="s">
        <v>56</v>
      </c>
      <c r="C17" s="31">
        <v>8</v>
      </c>
      <c r="D17" s="35">
        <v>6</v>
      </c>
      <c r="E17" s="31">
        <v>3</v>
      </c>
      <c r="F17" s="31">
        <v>1</v>
      </c>
      <c r="G17" s="31">
        <v>0</v>
      </c>
      <c r="H17" s="31">
        <v>2</v>
      </c>
      <c r="I17" s="35">
        <v>2</v>
      </c>
      <c r="J17" s="31">
        <v>1</v>
      </c>
      <c r="K17" s="31">
        <v>0</v>
      </c>
      <c r="L17" s="31">
        <v>1</v>
      </c>
      <c r="M17" s="31">
        <v>5</v>
      </c>
      <c r="N17" s="31">
        <v>3</v>
      </c>
      <c r="O17" s="37">
        <v>57.142857142857146</v>
      </c>
      <c r="P17" s="37">
        <v>62.5</v>
      </c>
      <c r="Q17" s="38">
        <f t="shared" si="0"/>
        <v>57.142857142857146</v>
      </c>
      <c r="R17" s="38">
        <f t="shared" si="1"/>
        <v>62.5</v>
      </c>
      <c r="S17" s="39" t="b">
        <f t="shared" si="2"/>
        <v>1</v>
      </c>
      <c r="T17" s="39" t="b">
        <f t="shared" si="2"/>
        <v>1</v>
      </c>
    </row>
    <row r="18" spans="1:20" s="40" customFormat="1" ht="25.05" customHeight="1">
      <c r="A18" s="31">
        <v>13</v>
      </c>
      <c r="B18" s="32" t="s">
        <v>42</v>
      </c>
      <c r="C18" s="33">
        <v>9</v>
      </c>
      <c r="D18" s="34">
        <v>9</v>
      </c>
      <c r="E18" s="33">
        <v>5</v>
      </c>
      <c r="F18" s="33">
        <v>2</v>
      </c>
      <c r="G18" s="33">
        <v>0</v>
      </c>
      <c r="H18" s="31">
        <v>2</v>
      </c>
      <c r="I18" s="35">
        <v>0</v>
      </c>
      <c r="J18" s="31">
        <v>0</v>
      </c>
      <c r="K18" s="31">
        <v>0</v>
      </c>
      <c r="L18" s="31">
        <v>0</v>
      </c>
      <c r="M18" s="31">
        <v>7</v>
      </c>
      <c r="N18" s="31">
        <v>2</v>
      </c>
      <c r="O18" s="37">
        <v>55.555555555555557</v>
      </c>
      <c r="P18" s="37">
        <v>77.777777777777771</v>
      </c>
      <c r="Q18" s="38">
        <f t="shared" si="0"/>
        <v>55.555555555555557</v>
      </c>
      <c r="R18" s="38">
        <f t="shared" si="1"/>
        <v>77.777777777777771</v>
      </c>
      <c r="S18" s="39" t="b">
        <f t="shared" si="2"/>
        <v>1</v>
      </c>
      <c r="T18" s="39" t="b">
        <f t="shared" si="2"/>
        <v>1</v>
      </c>
    </row>
    <row r="19" spans="1:20" s="40" customFormat="1" ht="25.05" customHeight="1">
      <c r="A19" s="31">
        <v>14</v>
      </c>
      <c r="B19" s="32" t="s">
        <v>51</v>
      </c>
      <c r="C19" s="31">
        <v>9</v>
      </c>
      <c r="D19" s="35">
        <v>8</v>
      </c>
      <c r="E19" s="31">
        <v>4</v>
      </c>
      <c r="F19" s="31">
        <v>2</v>
      </c>
      <c r="G19" s="31">
        <v>0</v>
      </c>
      <c r="H19" s="31">
        <v>2</v>
      </c>
      <c r="I19" s="35">
        <v>1</v>
      </c>
      <c r="J19" s="31">
        <v>1</v>
      </c>
      <c r="K19" s="31">
        <v>0</v>
      </c>
      <c r="L19" s="31">
        <v>0</v>
      </c>
      <c r="M19" s="31">
        <v>7</v>
      </c>
      <c r="N19" s="31">
        <v>2</v>
      </c>
      <c r="O19" s="37">
        <v>55.555555555555557</v>
      </c>
      <c r="P19" s="37">
        <v>77.777777777777771</v>
      </c>
      <c r="Q19" s="38">
        <f t="shared" si="0"/>
        <v>55.555555555555557</v>
      </c>
      <c r="R19" s="38">
        <f t="shared" si="1"/>
        <v>77.777777777777771</v>
      </c>
      <c r="S19" s="39" t="b">
        <f t="shared" si="2"/>
        <v>1</v>
      </c>
      <c r="T19" s="39" t="b">
        <f t="shared" si="2"/>
        <v>1</v>
      </c>
    </row>
    <row r="20" spans="1:20" s="40" customFormat="1" ht="25.05" customHeight="1">
      <c r="A20" s="31">
        <v>15</v>
      </c>
      <c r="B20" s="41" t="s">
        <v>65</v>
      </c>
      <c r="C20" s="42">
        <v>4</v>
      </c>
      <c r="D20" s="35">
        <v>4</v>
      </c>
      <c r="E20" s="42">
        <v>2</v>
      </c>
      <c r="F20" s="42">
        <v>1</v>
      </c>
      <c r="G20" s="42">
        <v>0</v>
      </c>
      <c r="H20" s="42">
        <v>1</v>
      </c>
      <c r="I20" s="35">
        <v>0</v>
      </c>
      <c r="J20" s="42">
        <v>0</v>
      </c>
      <c r="K20" s="42">
        <v>0</v>
      </c>
      <c r="L20" s="42">
        <v>0</v>
      </c>
      <c r="M20" s="42">
        <v>3</v>
      </c>
      <c r="N20" s="42">
        <v>1</v>
      </c>
      <c r="O20" s="43">
        <v>50</v>
      </c>
      <c r="P20" s="37">
        <v>75</v>
      </c>
      <c r="Q20" s="38">
        <f t="shared" si="0"/>
        <v>50</v>
      </c>
      <c r="R20" s="38">
        <f t="shared" si="1"/>
        <v>75</v>
      </c>
      <c r="S20" s="39" t="b">
        <f t="shared" si="2"/>
        <v>1</v>
      </c>
      <c r="T20" s="39" t="b">
        <f t="shared" si="2"/>
        <v>1</v>
      </c>
    </row>
    <row r="21" spans="1:20" s="40" customFormat="1" ht="25.05" customHeight="1">
      <c r="A21" s="31">
        <v>16</v>
      </c>
      <c r="B21" s="32" t="s">
        <v>46</v>
      </c>
      <c r="C21" s="33">
        <v>4</v>
      </c>
      <c r="D21" s="34">
        <v>2</v>
      </c>
      <c r="E21" s="33">
        <v>0</v>
      </c>
      <c r="F21" s="33">
        <v>2</v>
      </c>
      <c r="G21" s="33">
        <v>0</v>
      </c>
      <c r="H21" s="31">
        <v>0</v>
      </c>
      <c r="I21" s="35">
        <v>2</v>
      </c>
      <c r="J21" s="31">
        <v>2</v>
      </c>
      <c r="K21" s="31">
        <v>0</v>
      </c>
      <c r="L21" s="31">
        <v>0</v>
      </c>
      <c r="M21" s="31">
        <v>4</v>
      </c>
      <c r="N21" s="31">
        <v>0</v>
      </c>
      <c r="O21" s="37">
        <v>50</v>
      </c>
      <c r="P21" s="37">
        <v>100</v>
      </c>
      <c r="Q21" s="38">
        <f t="shared" si="0"/>
        <v>50</v>
      </c>
      <c r="R21" s="38">
        <f t="shared" si="1"/>
        <v>100</v>
      </c>
      <c r="S21" s="39" t="b">
        <f t="shared" si="2"/>
        <v>1</v>
      </c>
      <c r="T21" s="39" t="b">
        <f t="shared" si="2"/>
        <v>1</v>
      </c>
    </row>
    <row r="22" spans="1:20" s="40" customFormat="1" ht="25.05" customHeight="1">
      <c r="A22" s="31">
        <v>17</v>
      </c>
      <c r="B22" s="32" t="s">
        <v>43</v>
      </c>
      <c r="C22" s="33">
        <v>22</v>
      </c>
      <c r="D22" s="34">
        <v>18</v>
      </c>
      <c r="E22" s="33">
        <v>8</v>
      </c>
      <c r="F22" s="33">
        <v>5</v>
      </c>
      <c r="G22" s="33">
        <v>0</v>
      </c>
      <c r="H22" s="31">
        <v>5</v>
      </c>
      <c r="I22" s="35">
        <v>4</v>
      </c>
      <c r="J22" s="31">
        <v>1</v>
      </c>
      <c r="K22" s="31">
        <v>0</v>
      </c>
      <c r="L22" s="31">
        <v>3</v>
      </c>
      <c r="M22" s="31">
        <v>14</v>
      </c>
      <c r="N22" s="31">
        <v>8</v>
      </c>
      <c r="O22" s="37">
        <v>47.368421052631582</v>
      </c>
      <c r="P22" s="37">
        <v>63.636363636363633</v>
      </c>
      <c r="Q22" s="38">
        <f t="shared" si="0"/>
        <v>47.368421052631582</v>
      </c>
      <c r="R22" s="38">
        <f t="shared" si="1"/>
        <v>63.636363636363633</v>
      </c>
      <c r="S22" s="39" t="b">
        <f t="shared" si="2"/>
        <v>1</v>
      </c>
      <c r="T22" s="39" t="b">
        <f t="shared" si="2"/>
        <v>1</v>
      </c>
    </row>
    <row r="23" spans="1:20" s="40" customFormat="1" ht="25.05" customHeight="1">
      <c r="A23" s="31">
        <v>18</v>
      </c>
      <c r="B23" s="32" t="s">
        <v>70</v>
      </c>
      <c r="C23" s="31">
        <v>9</v>
      </c>
      <c r="D23" s="35">
        <v>7</v>
      </c>
      <c r="E23" s="31">
        <v>3</v>
      </c>
      <c r="F23" s="31">
        <v>3</v>
      </c>
      <c r="G23" s="31">
        <v>0</v>
      </c>
      <c r="H23" s="31">
        <v>1</v>
      </c>
      <c r="I23" s="35">
        <v>2</v>
      </c>
      <c r="J23" s="31">
        <v>0</v>
      </c>
      <c r="K23" s="31">
        <v>0</v>
      </c>
      <c r="L23" s="31">
        <v>2</v>
      </c>
      <c r="M23" s="31">
        <v>6</v>
      </c>
      <c r="N23" s="31">
        <v>3</v>
      </c>
      <c r="O23" s="37">
        <v>42.857142857142854</v>
      </c>
      <c r="P23" s="37">
        <v>66.666666666666671</v>
      </c>
      <c r="Q23" s="38">
        <f t="shared" si="0"/>
        <v>42.857142857142854</v>
      </c>
      <c r="R23" s="38">
        <f t="shared" si="1"/>
        <v>66.666666666666671</v>
      </c>
      <c r="S23" s="39" t="b">
        <f t="shared" si="2"/>
        <v>1</v>
      </c>
      <c r="T23" s="39" t="b">
        <f t="shared" si="2"/>
        <v>1</v>
      </c>
    </row>
    <row r="24" spans="1:20" s="40" customFormat="1" ht="25.05" customHeight="1">
      <c r="A24" s="31">
        <v>19</v>
      </c>
      <c r="B24" s="32" t="s">
        <v>48</v>
      </c>
      <c r="C24" s="31">
        <v>13</v>
      </c>
      <c r="D24" s="35">
        <v>12</v>
      </c>
      <c r="E24" s="31">
        <v>5</v>
      </c>
      <c r="F24" s="31">
        <v>5</v>
      </c>
      <c r="G24" s="31">
        <v>0</v>
      </c>
      <c r="H24" s="31">
        <v>2</v>
      </c>
      <c r="I24" s="35">
        <v>1</v>
      </c>
      <c r="J24" s="31">
        <v>0</v>
      </c>
      <c r="K24" s="31">
        <v>0</v>
      </c>
      <c r="L24" s="31">
        <v>1</v>
      </c>
      <c r="M24" s="31">
        <v>10</v>
      </c>
      <c r="N24" s="31">
        <v>3</v>
      </c>
      <c r="O24" s="37">
        <v>41.666666666666664</v>
      </c>
      <c r="P24" s="37">
        <v>76.92307692307692</v>
      </c>
      <c r="Q24" s="38">
        <f t="shared" si="0"/>
        <v>41.666666666666664</v>
      </c>
      <c r="R24" s="38">
        <f t="shared" si="1"/>
        <v>76.92307692307692</v>
      </c>
      <c r="S24" s="39" t="b">
        <f t="shared" si="2"/>
        <v>1</v>
      </c>
      <c r="T24" s="39" t="b">
        <f t="shared" si="2"/>
        <v>1</v>
      </c>
    </row>
    <row r="25" spans="1:20" s="40" customFormat="1" ht="25.05" customHeight="1">
      <c r="A25" s="31">
        <v>20</v>
      </c>
      <c r="B25" s="32" t="s">
        <v>73</v>
      </c>
      <c r="C25" s="31">
        <v>5</v>
      </c>
      <c r="D25" s="35">
        <v>5</v>
      </c>
      <c r="E25" s="31">
        <v>2</v>
      </c>
      <c r="F25" s="31">
        <v>2</v>
      </c>
      <c r="G25" s="31">
        <v>0</v>
      </c>
      <c r="H25" s="31">
        <v>1</v>
      </c>
      <c r="I25" s="35">
        <v>0</v>
      </c>
      <c r="J25" s="31">
        <v>0</v>
      </c>
      <c r="K25" s="31">
        <v>0</v>
      </c>
      <c r="L25" s="31">
        <v>0</v>
      </c>
      <c r="M25" s="31">
        <v>4</v>
      </c>
      <c r="N25" s="31">
        <v>1</v>
      </c>
      <c r="O25" s="37">
        <v>40</v>
      </c>
      <c r="P25" s="37">
        <v>80</v>
      </c>
      <c r="Q25" s="38">
        <f t="shared" si="0"/>
        <v>40</v>
      </c>
      <c r="R25" s="38">
        <f t="shared" si="1"/>
        <v>80</v>
      </c>
      <c r="S25" s="39" t="b">
        <f t="shared" si="2"/>
        <v>1</v>
      </c>
      <c r="T25" s="39" t="b">
        <f t="shared" si="2"/>
        <v>1</v>
      </c>
    </row>
    <row r="26" spans="1:20" s="40" customFormat="1" ht="25.05" customHeight="1">
      <c r="A26" s="31">
        <v>21</v>
      </c>
      <c r="B26" s="32" t="s">
        <v>66</v>
      </c>
      <c r="C26" s="31">
        <v>26</v>
      </c>
      <c r="D26" s="35">
        <v>23</v>
      </c>
      <c r="E26" s="31">
        <v>9</v>
      </c>
      <c r="F26" s="31">
        <v>4</v>
      </c>
      <c r="G26" s="31">
        <v>0</v>
      </c>
      <c r="H26" s="31">
        <v>10</v>
      </c>
      <c r="I26" s="35">
        <v>3</v>
      </c>
      <c r="J26" s="31">
        <v>0</v>
      </c>
      <c r="K26" s="31">
        <v>0</v>
      </c>
      <c r="L26" s="31">
        <v>3</v>
      </c>
      <c r="M26" s="31">
        <v>13</v>
      </c>
      <c r="N26" s="31">
        <v>13</v>
      </c>
      <c r="O26" s="37">
        <v>39.130434782608695</v>
      </c>
      <c r="P26" s="37">
        <v>50</v>
      </c>
      <c r="Q26" s="38">
        <f t="shared" si="0"/>
        <v>39.130434782608695</v>
      </c>
      <c r="R26" s="38">
        <f t="shared" si="1"/>
        <v>50</v>
      </c>
      <c r="S26" s="39" t="b">
        <f t="shared" si="2"/>
        <v>1</v>
      </c>
      <c r="T26" s="39" t="b">
        <f t="shared" si="2"/>
        <v>1</v>
      </c>
    </row>
    <row r="27" spans="1:20" s="40" customFormat="1" ht="25.05" customHeight="1">
      <c r="A27" s="31">
        <v>22</v>
      </c>
      <c r="B27" s="32" t="s">
        <v>57</v>
      </c>
      <c r="C27" s="31">
        <v>49</v>
      </c>
      <c r="D27" s="35">
        <v>42</v>
      </c>
      <c r="E27" s="31">
        <v>16</v>
      </c>
      <c r="F27" s="31">
        <v>13</v>
      </c>
      <c r="G27" s="31">
        <v>0</v>
      </c>
      <c r="H27" s="31">
        <v>13</v>
      </c>
      <c r="I27" s="35">
        <v>7</v>
      </c>
      <c r="J27" s="31">
        <v>0</v>
      </c>
      <c r="K27" s="31">
        <v>0</v>
      </c>
      <c r="L27" s="31">
        <v>7</v>
      </c>
      <c r="M27" s="31">
        <v>29</v>
      </c>
      <c r="N27" s="31">
        <v>20</v>
      </c>
      <c r="O27" s="37">
        <v>38.095238095238095</v>
      </c>
      <c r="P27" s="37">
        <v>59.183673469387756</v>
      </c>
      <c r="Q27" s="38">
        <f t="shared" si="0"/>
        <v>38.095238095238095</v>
      </c>
      <c r="R27" s="38">
        <f t="shared" si="1"/>
        <v>59.183673469387756</v>
      </c>
      <c r="S27" s="39" t="b">
        <f t="shared" si="2"/>
        <v>1</v>
      </c>
      <c r="T27" s="39" t="b">
        <f t="shared" si="2"/>
        <v>1</v>
      </c>
    </row>
    <row r="28" spans="1:20" s="40" customFormat="1" ht="25.05" customHeight="1">
      <c r="A28" s="31">
        <v>23</v>
      </c>
      <c r="B28" s="32" t="s">
        <v>54</v>
      </c>
      <c r="C28" s="31">
        <v>19</v>
      </c>
      <c r="D28" s="35">
        <v>16</v>
      </c>
      <c r="E28" s="31">
        <v>6</v>
      </c>
      <c r="F28" s="31">
        <v>8</v>
      </c>
      <c r="G28" s="31">
        <v>0</v>
      </c>
      <c r="H28" s="31">
        <v>2</v>
      </c>
      <c r="I28" s="35">
        <v>3</v>
      </c>
      <c r="J28" s="31">
        <v>0</v>
      </c>
      <c r="K28" s="31">
        <v>0</v>
      </c>
      <c r="L28" s="31">
        <v>3</v>
      </c>
      <c r="M28" s="31">
        <v>14</v>
      </c>
      <c r="N28" s="31">
        <v>5</v>
      </c>
      <c r="O28" s="37">
        <v>37.5</v>
      </c>
      <c r="P28" s="37">
        <v>73.684210526315795</v>
      </c>
      <c r="Q28" s="38">
        <f t="shared" si="0"/>
        <v>37.5</v>
      </c>
      <c r="R28" s="38">
        <f t="shared" si="1"/>
        <v>73.684210526315795</v>
      </c>
      <c r="S28" s="39" t="b">
        <f t="shared" si="2"/>
        <v>1</v>
      </c>
      <c r="T28" s="39" t="b">
        <f t="shared" si="2"/>
        <v>1</v>
      </c>
    </row>
    <row r="29" spans="1:20" s="40" customFormat="1" ht="25.05" customHeight="1">
      <c r="A29" s="31">
        <v>24</v>
      </c>
      <c r="B29" s="32" t="s">
        <v>63</v>
      </c>
      <c r="C29" s="31">
        <v>19</v>
      </c>
      <c r="D29" s="35">
        <v>16</v>
      </c>
      <c r="E29" s="31">
        <v>6</v>
      </c>
      <c r="F29" s="31">
        <v>4</v>
      </c>
      <c r="G29" s="31">
        <v>0</v>
      </c>
      <c r="H29" s="31">
        <v>6</v>
      </c>
      <c r="I29" s="35">
        <v>3</v>
      </c>
      <c r="J29" s="31">
        <v>0</v>
      </c>
      <c r="K29" s="31">
        <v>0</v>
      </c>
      <c r="L29" s="31">
        <v>3</v>
      </c>
      <c r="M29" s="31">
        <v>10</v>
      </c>
      <c r="N29" s="31">
        <v>9</v>
      </c>
      <c r="O29" s="37">
        <v>37.5</v>
      </c>
      <c r="P29" s="37">
        <v>52.631578947368418</v>
      </c>
      <c r="Q29" s="38">
        <f t="shared" si="0"/>
        <v>37.5</v>
      </c>
      <c r="R29" s="38">
        <f t="shared" si="1"/>
        <v>52.631578947368418</v>
      </c>
      <c r="S29" s="39" t="b">
        <f t="shared" si="2"/>
        <v>1</v>
      </c>
      <c r="T29" s="39" t="b">
        <f t="shared" si="2"/>
        <v>1</v>
      </c>
    </row>
    <row r="30" spans="1:20" s="40" customFormat="1" ht="25.05" customHeight="1">
      <c r="A30" s="31">
        <v>25</v>
      </c>
      <c r="B30" s="32" t="s">
        <v>60</v>
      </c>
      <c r="C30" s="31">
        <v>14</v>
      </c>
      <c r="D30" s="35">
        <v>14</v>
      </c>
      <c r="E30" s="31">
        <v>5</v>
      </c>
      <c r="F30" s="31">
        <v>8</v>
      </c>
      <c r="G30" s="31">
        <v>0</v>
      </c>
      <c r="H30" s="31">
        <v>1</v>
      </c>
      <c r="I30" s="35">
        <v>0</v>
      </c>
      <c r="J30" s="31">
        <v>0</v>
      </c>
      <c r="K30" s="31">
        <v>0</v>
      </c>
      <c r="L30" s="31">
        <v>0</v>
      </c>
      <c r="M30" s="31">
        <v>13</v>
      </c>
      <c r="N30" s="31">
        <v>1</v>
      </c>
      <c r="O30" s="37">
        <v>35.714285714285715</v>
      </c>
      <c r="P30" s="37">
        <v>92.857142857142861</v>
      </c>
      <c r="Q30" s="38">
        <f t="shared" si="0"/>
        <v>35.714285714285715</v>
      </c>
      <c r="R30" s="38">
        <f t="shared" si="1"/>
        <v>92.857142857142861</v>
      </c>
      <c r="S30" s="39" t="b">
        <f t="shared" si="2"/>
        <v>1</v>
      </c>
      <c r="T30" s="39" t="b">
        <f t="shared" si="2"/>
        <v>1</v>
      </c>
    </row>
    <row r="31" spans="1:20" s="40" customFormat="1" ht="25.05" customHeight="1">
      <c r="A31" s="31">
        <v>26</v>
      </c>
      <c r="B31" s="32" t="s">
        <v>64</v>
      </c>
      <c r="C31" s="31">
        <v>31</v>
      </c>
      <c r="D31" s="35">
        <v>31</v>
      </c>
      <c r="E31" s="31">
        <v>11</v>
      </c>
      <c r="F31" s="31">
        <v>10</v>
      </c>
      <c r="G31" s="31">
        <v>0</v>
      </c>
      <c r="H31" s="31">
        <v>10</v>
      </c>
      <c r="I31" s="35">
        <v>0</v>
      </c>
      <c r="J31" s="31">
        <v>0</v>
      </c>
      <c r="K31" s="31">
        <v>0</v>
      </c>
      <c r="L31" s="31">
        <v>0</v>
      </c>
      <c r="M31" s="31">
        <v>21</v>
      </c>
      <c r="N31" s="31">
        <v>10</v>
      </c>
      <c r="O31" s="37">
        <v>35.483870967741936</v>
      </c>
      <c r="P31" s="37">
        <v>67.741935483870961</v>
      </c>
      <c r="Q31" s="38">
        <f t="shared" si="0"/>
        <v>35.483870967741936</v>
      </c>
      <c r="R31" s="38">
        <f t="shared" si="1"/>
        <v>67.741935483870961</v>
      </c>
      <c r="S31" s="39" t="b">
        <f t="shared" si="2"/>
        <v>1</v>
      </c>
      <c r="T31" s="39" t="b">
        <f t="shared" si="2"/>
        <v>1</v>
      </c>
    </row>
    <row r="32" spans="1:20" s="44" customFormat="1" ht="30" customHeight="1">
      <c r="A32" s="31">
        <v>27</v>
      </c>
      <c r="B32" s="32" t="s">
        <v>68</v>
      </c>
      <c r="C32" s="31">
        <v>18</v>
      </c>
      <c r="D32" s="35">
        <v>17</v>
      </c>
      <c r="E32" s="31">
        <v>5</v>
      </c>
      <c r="F32" s="31">
        <v>3</v>
      </c>
      <c r="G32" s="31">
        <v>0</v>
      </c>
      <c r="H32" s="31">
        <v>9</v>
      </c>
      <c r="I32" s="35">
        <v>1</v>
      </c>
      <c r="J32" s="31">
        <v>0</v>
      </c>
      <c r="K32" s="31">
        <v>0</v>
      </c>
      <c r="L32" s="31">
        <v>1</v>
      </c>
      <c r="M32" s="31">
        <v>8</v>
      </c>
      <c r="N32" s="31">
        <v>10</v>
      </c>
      <c r="O32" s="37">
        <v>29.411764705882351</v>
      </c>
      <c r="P32" s="37">
        <v>44.444444444444443</v>
      </c>
      <c r="Q32" s="38">
        <f t="shared" si="0"/>
        <v>29.411764705882351</v>
      </c>
      <c r="R32" s="38">
        <f t="shared" si="1"/>
        <v>44.444444444444443</v>
      </c>
      <c r="S32" s="39" t="b">
        <f t="shared" si="2"/>
        <v>1</v>
      </c>
      <c r="T32" s="39" t="b">
        <f t="shared" si="2"/>
        <v>1</v>
      </c>
    </row>
    <row r="33" spans="1:20" s="40" customFormat="1" ht="25.05" customHeight="1">
      <c r="A33" s="31">
        <v>28</v>
      </c>
      <c r="B33" s="32" t="s">
        <v>71</v>
      </c>
      <c r="C33" s="31">
        <v>10</v>
      </c>
      <c r="D33" s="35">
        <v>7</v>
      </c>
      <c r="E33" s="31">
        <v>2</v>
      </c>
      <c r="F33" s="31">
        <v>2</v>
      </c>
      <c r="G33" s="31">
        <v>0</v>
      </c>
      <c r="H33" s="31">
        <v>3</v>
      </c>
      <c r="I33" s="35">
        <v>3</v>
      </c>
      <c r="J33" s="31">
        <v>0</v>
      </c>
      <c r="K33" s="31">
        <v>0</v>
      </c>
      <c r="L33" s="31">
        <v>3</v>
      </c>
      <c r="M33" s="31">
        <v>4</v>
      </c>
      <c r="N33" s="31">
        <v>6</v>
      </c>
      <c r="O33" s="37">
        <v>28.571428571428573</v>
      </c>
      <c r="P33" s="37">
        <v>40</v>
      </c>
      <c r="Q33" s="38">
        <f t="shared" si="0"/>
        <v>28.571428571428573</v>
      </c>
      <c r="R33" s="38">
        <f t="shared" si="1"/>
        <v>40</v>
      </c>
      <c r="S33" s="39" t="b">
        <f t="shared" si="2"/>
        <v>1</v>
      </c>
      <c r="T33" s="39" t="b">
        <f t="shared" si="2"/>
        <v>1</v>
      </c>
    </row>
    <row r="34" spans="1:20" s="40" customFormat="1" ht="34.950000000000003" customHeight="1">
      <c r="A34" s="31">
        <v>29</v>
      </c>
      <c r="B34" s="32" t="s">
        <v>59</v>
      </c>
      <c r="C34" s="31">
        <v>28</v>
      </c>
      <c r="D34" s="35">
        <v>23</v>
      </c>
      <c r="E34" s="31">
        <v>5</v>
      </c>
      <c r="F34" s="31">
        <v>12</v>
      </c>
      <c r="G34" s="31">
        <v>0</v>
      </c>
      <c r="H34" s="31">
        <v>6</v>
      </c>
      <c r="I34" s="35">
        <v>5</v>
      </c>
      <c r="J34" s="31">
        <v>0</v>
      </c>
      <c r="K34" s="31">
        <v>0</v>
      </c>
      <c r="L34" s="31">
        <v>5</v>
      </c>
      <c r="M34" s="31">
        <v>17</v>
      </c>
      <c r="N34" s="31">
        <v>11</v>
      </c>
      <c r="O34" s="37">
        <v>21.739130434782609</v>
      </c>
      <c r="P34" s="37">
        <v>60.714285714285715</v>
      </c>
      <c r="Q34" s="38">
        <f t="shared" si="0"/>
        <v>21.739130434782609</v>
      </c>
      <c r="R34" s="38">
        <f t="shared" si="1"/>
        <v>60.714285714285715</v>
      </c>
      <c r="S34" s="39" t="b">
        <f t="shared" si="2"/>
        <v>1</v>
      </c>
      <c r="T34" s="39" t="b">
        <f t="shared" si="2"/>
        <v>1</v>
      </c>
    </row>
    <row r="35" spans="1:20" s="40" customFormat="1" ht="25.05" customHeight="1">
      <c r="A35" s="31">
        <v>30</v>
      </c>
      <c r="B35" s="32" t="s">
        <v>67</v>
      </c>
      <c r="C35" s="31">
        <v>16</v>
      </c>
      <c r="D35" s="35">
        <v>16</v>
      </c>
      <c r="E35" s="31">
        <v>3</v>
      </c>
      <c r="F35" s="31">
        <v>11</v>
      </c>
      <c r="G35" s="31">
        <v>0</v>
      </c>
      <c r="H35" s="31">
        <v>2</v>
      </c>
      <c r="I35" s="35">
        <v>0</v>
      </c>
      <c r="J35" s="31">
        <v>0</v>
      </c>
      <c r="K35" s="31">
        <v>0</v>
      </c>
      <c r="L35" s="31">
        <v>0</v>
      </c>
      <c r="M35" s="31">
        <v>14</v>
      </c>
      <c r="N35" s="31">
        <v>2</v>
      </c>
      <c r="O35" s="45">
        <v>18.75</v>
      </c>
      <c r="P35" s="37">
        <v>87.5</v>
      </c>
      <c r="Q35" s="38">
        <f t="shared" si="0"/>
        <v>18.75</v>
      </c>
      <c r="R35" s="38">
        <f t="shared" si="1"/>
        <v>87.5</v>
      </c>
      <c r="S35" s="39" t="b">
        <f t="shared" si="2"/>
        <v>1</v>
      </c>
      <c r="T35" s="39" t="b">
        <f t="shared" si="2"/>
        <v>1</v>
      </c>
    </row>
    <row r="36" spans="1:20" s="40" customFormat="1" ht="25.05" customHeight="1">
      <c r="A36" s="31">
        <v>31</v>
      </c>
      <c r="B36" s="32" t="s">
        <v>72</v>
      </c>
      <c r="C36" s="31">
        <v>12</v>
      </c>
      <c r="D36" s="35">
        <v>11</v>
      </c>
      <c r="E36" s="31">
        <v>1</v>
      </c>
      <c r="F36" s="31">
        <v>3</v>
      </c>
      <c r="G36" s="31">
        <v>0</v>
      </c>
      <c r="H36" s="31">
        <v>7</v>
      </c>
      <c r="I36" s="35">
        <v>1</v>
      </c>
      <c r="J36" s="31">
        <v>0</v>
      </c>
      <c r="K36" s="31">
        <v>0</v>
      </c>
      <c r="L36" s="31">
        <v>1</v>
      </c>
      <c r="M36" s="31">
        <v>4</v>
      </c>
      <c r="N36" s="31">
        <v>8</v>
      </c>
      <c r="O36" s="45">
        <v>9.0909090909090917</v>
      </c>
      <c r="P36" s="37">
        <v>33.333333333333336</v>
      </c>
      <c r="Q36" s="38">
        <f t="shared" si="0"/>
        <v>9.0909090909090917</v>
      </c>
      <c r="R36" s="38">
        <f t="shared" si="1"/>
        <v>33.333333333333336</v>
      </c>
      <c r="S36" s="39" t="b">
        <f t="shared" si="2"/>
        <v>1</v>
      </c>
      <c r="T36" s="39" t="b">
        <f t="shared" si="2"/>
        <v>1</v>
      </c>
    </row>
    <row r="37" spans="1:20" s="40" customFormat="1" ht="25.05" customHeight="1">
      <c r="A37" s="31">
        <v>32</v>
      </c>
      <c r="B37" s="32" t="s">
        <v>74</v>
      </c>
      <c r="C37" s="31">
        <v>0</v>
      </c>
      <c r="D37" s="35">
        <v>0</v>
      </c>
      <c r="E37" s="31">
        <v>0</v>
      </c>
      <c r="F37" s="31">
        <v>0</v>
      </c>
      <c r="G37" s="31">
        <v>0</v>
      </c>
      <c r="H37" s="31">
        <v>0</v>
      </c>
      <c r="I37" s="35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7">
        <v>0</v>
      </c>
      <c r="P37" s="37">
        <v>0</v>
      </c>
      <c r="Q37" s="38">
        <f t="shared" si="0"/>
        <v>0</v>
      </c>
      <c r="R37" s="38">
        <f t="shared" si="1"/>
        <v>0</v>
      </c>
      <c r="S37" s="39" t="b">
        <f t="shared" si="2"/>
        <v>1</v>
      </c>
      <c r="T37" s="39" t="b">
        <f t="shared" si="2"/>
        <v>1</v>
      </c>
    </row>
    <row r="38" spans="1:20" s="40" customFormat="1" ht="25.05" customHeight="1">
      <c r="A38" s="31">
        <v>33</v>
      </c>
      <c r="B38" s="32" t="s">
        <v>53</v>
      </c>
      <c r="C38" s="31">
        <v>0</v>
      </c>
      <c r="D38" s="35">
        <v>0</v>
      </c>
      <c r="E38" s="31">
        <v>0</v>
      </c>
      <c r="F38" s="31">
        <v>0</v>
      </c>
      <c r="G38" s="31">
        <v>0</v>
      </c>
      <c r="H38" s="31">
        <v>0</v>
      </c>
      <c r="I38" s="35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7">
        <v>0</v>
      </c>
      <c r="P38" s="37">
        <v>0</v>
      </c>
      <c r="Q38" s="38">
        <f t="shared" si="0"/>
        <v>0</v>
      </c>
      <c r="R38" s="38">
        <f t="shared" si="1"/>
        <v>0</v>
      </c>
      <c r="S38" s="39" t="b">
        <f t="shared" si="2"/>
        <v>1</v>
      </c>
      <c r="T38" s="39" t="b">
        <f t="shared" si="2"/>
        <v>1</v>
      </c>
    </row>
    <row r="39" spans="1:20" s="40" customFormat="1" ht="25.05" customHeight="1">
      <c r="A39" s="31">
        <v>34</v>
      </c>
      <c r="B39" s="32" t="s">
        <v>41</v>
      </c>
      <c r="C39" s="33">
        <v>0</v>
      </c>
      <c r="D39" s="34">
        <v>0</v>
      </c>
      <c r="E39" s="33">
        <v>0</v>
      </c>
      <c r="F39" s="33">
        <v>0</v>
      </c>
      <c r="G39" s="33">
        <v>0</v>
      </c>
      <c r="H39" s="31">
        <v>0</v>
      </c>
      <c r="I39" s="35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7">
        <v>0</v>
      </c>
      <c r="P39" s="37">
        <v>0</v>
      </c>
      <c r="Q39" s="38">
        <f t="shared" si="0"/>
        <v>0</v>
      </c>
      <c r="R39" s="38">
        <f t="shared" si="1"/>
        <v>0</v>
      </c>
      <c r="S39" s="39" t="b">
        <f t="shared" si="2"/>
        <v>1</v>
      </c>
      <c r="T39" s="39" t="b">
        <f t="shared" si="2"/>
        <v>1</v>
      </c>
    </row>
    <row r="40" spans="1:20" s="40" customFormat="1" ht="25.05" customHeight="1">
      <c r="A40" s="46" t="s">
        <v>75</v>
      </c>
      <c r="B40" s="46"/>
      <c r="C40" s="47">
        <f>SUM(C6:C39)</f>
        <v>483</v>
      </c>
      <c r="D40" s="48">
        <f t="shared" ref="D40:N40" si="3">SUM(D6:D39)</f>
        <v>431</v>
      </c>
      <c r="E40" s="47">
        <f t="shared" si="3"/>
        <v>196</v>
      </c>
      <c r="F40" s="47">
        <f t="shared" si="3"/>
        <v>131</v>
      </c>
      <c r="G40" s="47">
        <f t="shared" si="3"/>
        <v>0</v>
      </c>
      <c r="H40" s="47">
        <f t="shared" si="3"/>
        <v>104</v>
      </c>
      <c r="I40" s="48">
        <f t="shared" si="3"/>
        <v>52</v>
      </c>
      <c r="J40" s="47">
        <f t="shared" si="3"/>
        <v>9</v>
      </c>
      <c r="K40" s="47">
        <f t="shared" si="3"/>
        <v>0</v>
      </c>
      <c r="L40" s="47">
        <f t="shared" si="3"/>
        <v>43</v>
      </c>
      <c r="M40" s="47">
        <f t="shared" si="3"/>
        <v>336</v>
      </c>
      <c r="N40" s="47">
        <f t="shared" si="3"/>
        <v>147</v>
      </c>
      <c r="O40" s="49">
        <f>IFERROR((E40+J40)*100/(D40+J40),0)</f>
        <v>46.590909090909093</v>
      </c>
      <c r="P40" s="49">
        <f>IFERROR(M40*100/C40,0)</f>
        <v>69.565217391304344</v>
      </c>
      <c r="Q40" s="38">
        <f>IFERROR((E40+J40)*100/(D40+J40),0)</f>
        <v>46.590909090909093</v>
      </c>
      <c r="R40" s="38">
        <f>IFERROR(M40*100/C40,0)</f>
        <v>69.565217391304344</v>
      </c>
      <c r="S40" s="39" t="b">
        <f>O40=Q40</f>
        <v>1</v>
      </c>
      <c r="T40" s="39" t="b">
        <f>P40=R40</f>
        <v>1</v>
      </c>
    </row>
    <row r="42" spans="1:20">
      <c r="G42" s="51" t="s">
        <v>85</v>
      </c>
    </row>
  </sheetData>
  <mergeCells count="11">
    <mergeCell ref="A40:B40"/>
    <mergeCell ref="A1:P1"/>
    <mergeCell ref="A2:A3"/>
    <mergeCell ref="B2:B3"/>
    <mergeCell ref="C2:C3"/>
    <mergeCell ref="D2:H2"/>
    <mergeCell ref="I2:L2"/>
    <mergeCell ref="M2:M3"/>
    <mergeCell ref="N2:N3"/>
    <mergeCell ref="O2:O3"/>
    <mergeCell ref="P2:P3"/>
  </mergeCells>
  <conditionalFormatting sqref="S6:T40">
    <cfRule type="containsText" dxfId="1" priority="1" operator="containsText" text="FALSE">
      <formula>NOT(ISERROR(SEARCH("FALSE",S6)))</formula>
    </cfRule>
  </conditionalFormatting>
  <printOptions horizontalCentered="1"/>
  <pageMargins left="0.55118110236220474" right="0.55118110236220474" top="0.98425196850393704" bottom="0.98425196850393704" header="0.51181102362204722" footer="0.51181102362204722"/>
  <pageSetup paperSize="5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FA9AA-3964-4992-BE82-447F23ED8245}">
  <sheetPr codeName="Sheet38">
    <tabColor rgb="FF7030A0"/>
  </sheetPr>
  <dimension ref="A1:T42"/>
  <sheetViews>
    <sheetView showGridLines="0" workbookViewId="0">
      <pane ySplit="5" topLeftCell="A18" activePane="bottomLeft" state="frozen"/>
      <selection pane="bottomLeft" activeCell="A6" sqref="A6:P39"/>
    </sheetView>
  </sheetViews>
  <sheetFormatPr defaultRowHeight="14.4"/>
  <cols>
    <col min="1" max="1" width="5.77734375" customWidth="1"/>
    <col min="2" max="2" width="20.77734375" style="50" customWidth="1"/>
    <col min="3" max="3" width="12.21875" style="51" bestFit="1" customWidth="1"/>
    <col min="4" max="4" width="18.77734375" style="51" customWidth="1"/>
    <col min="5" max="6" width="14.77734375" style="51" customWidth="1"/>
    <col min="7" max="7" width="13.6640625" style="51" customWidth="1"/>
    <col min="8" max="8" width="11.77734375" style="51" customWidth="1"/>
    <col min="9" max="11" width="14.77734375" style="51" customWidth="1"/>
    <col min="12" max="12" width="11.33203125" style="51" bestFit="1" customWidth="1"/>
    <col min="13" max="13" width="11.21875" style="51" bestFit="1" customWidth="1"/>
    <col min="14" max="14" width="8.77734375" style="51" bestFit="1" customWidth="1"/>
    <col min="15" max="15" width="16.109375" style="51" customWidth="1"/>
    <col min="16" max="16" width="14.5546875" customWidth="1"/>
    <col min="17" max="20" width="0" hidden="1" customWidth="1"/>
  </cols>
  <sheetData>
    <row r="1" spans="1:20" s="3" customFormat="1" ht="30" customHeight="1">
      <c r="A1" s="1" t="str">
        <f ca="1">"CHITTOOR DISTRICT - 90 DAYS INVESTIGATION CASES REPORTED FROM 01-10-2025 " &amp;
" TO " &amp;TEXT(TODAY()-1,"dd-mm-yyyy")</f>
        <v>CHITTOOR DISTRICT - 90 DAYS INVESTIGATION CASES REPORTED FROM 01-10-2025  TO 02-06-2026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0" s="3" customFormat="1" ht="30" customHeight="1">
      <c r="A2" s="4" t="s">
        <v>0</v>
      </c>
      <c r="B2" s="4" t="s">
        <v>1</v>
      </c>
      <c r="C2" s="5" t="s">
        <v>2</v>
      </c>
      <c r="D2" s="6" t="s">
        <v>76</v>
      </c>
      <c r="E2" s="6"/>
      <c r="F2" s="6"/>
      <c r="G2" s="6"/>
      <c r="H2" s="6"/>
      <c r="I2" s="7" t="s">
        <v>77</v>
      </c>
      <c r="J2" s="7"/>
      <c r="K2" s="7"/>
      <c r="L2" s="7"/>
      <c r="M2" s="8" t="s">
        <v>5</v>
      </c>
      <c r="N2" s="9" t="s">
        <v>6</v>
      </c>
      <c r="O2" s="10" t="s">
        <v>7</v>
      </c>
      <c r="P2" s="11" t="s">
        <v>8</v>
      </c>
    </row>
    <row r="3" spans="1:20" s="16" customFormat="1" ht="48.6" customHeight="1">
      <c r="A3" s="12"/>
      <c r="B3" s="12"/>
      <c r="C3" s="5"/>
      <c r="D3" s="13" t="s">
        <v>78</v>
      </c>
      <c r="E3" s="13" t="s">
        <v>79</v>
      </c>
      <c r="F3" s="13" t="s">
        <v>80</v>
      </c>
      <c r="G3" s="13" t="s">
        <v>12</v>
      </c>
      <c r="H3" s="13" t="s">
        <v>81</v>
      </c>
      <c r="I3" s="14" t="s">
        <v>82</v>
      </c>
      <c r="J3" s="14" t="s">
        <v>83</v>
      </c>
      <c r="K3" s="14" t="s">
        <v>16</v>
      </c>
      <c r="L3" s="14" t="s">
        <v>84</v>
      </c>
      <c r="M3" s="8"/>
      <c r="N3" s="9"/>
      <c r="O3" s="52"/>
      <c r="P3" s="11"/>
    </row>
    <row r="4" spans="1:20" s="2" customFormat="1" ht="19.95" customHeight="1">
      <c r="A4" s="17" t="s">
        <v>18</v>
      </c>
      <c r="B4" s="17" t="s">
        <v>19</v>
      </c>
      <c r="C4" s="18" t="s">
        <v>20</v>
      </c>
      <c r="D4" s="19" t="s">
        <v>21</v>
      </c>
      <c r="E4" s="19" t="s">
        <v>22</v>
      </c>
      <c r="F4" s="19" t="s">
        <v>23</v>
      </c>
      <c r="G4" s="19" t="s">
        <v>24</v>
      </c>
      <c r="H4" s="19" t="s">
        <v>25</v>
      </c>
      <c r="I4" s="20" t="s">
        <v>26</v>
      </c>
      <c r="J4" s="20" t="s">
        <v>27</v>
      </c>
      <c r="K4" s="20" t="s">
        <v>28</v>
      </c>
      <c r="L4" s="20" t="s">
        <v>29</v>
      </c>
      <c r="M4" s="21" t="s">
        <v>30</v>
      </c>
      <c r="N4" s="22" t="s">
        <v>31</v>
      </c>
      <c r="O4" s="23" t="s">
        <v>32</v>
      </c>
      <c r="P4" s="24" t="s">
        <v>33</v>
      </c>
    </row>
    <row r="5" spans="1:20" s="15" customFormat="1" ht="19.95" customHeight="1">
      <c r="A5" s="25"/>
      <c r="B5" s="25"/>
      <c r="C5" s="26" t="s">
        <v>34</v>
      </c>
      <c r="D5" s="27" t="s">
        <v>35</v>
      </c>
      <c r="E5" s="27"/>
      <c r="F5" s="27"/>
      <c r="G5" s="27"/>
      <c r="H5" s="27"/>
      <c r="I5" s="28" t="s">
        <v>36</v>
      </c>
      <c r="J5" s="28"/>
      <c r="K5" s="28"/>
      <c r="L5" s="28"/>
      <c r="M5" s="21" t="s">
        <v>37</v>
      </c>
      <c r="N5" s="22" t="s">
        <v>38</v>
      </c>
      <c r="O5" s="29" t="s">
        <v>39</v>
      </c>
      <c r="P5" s="30" t="s">
        <v>40</v>
      </c>
    </row>
    <row r="6" spans="1:20" s="40" customFormat="1" ht="25.05" customHeight="1">
      <c r="A6" s="31">
        <v>1</v>
      </c>
      <c r="B6" s="32" t="s">
        <v>54</v>
      </c>
      <c r="C6" s="31">
        <v>6</v>
      </c>
      <c r="D6" s="35">
        <v>3</v>
      </c>
      <c r="E6" s="31">
        <v>3</v>
      </c>
      <c r="F6" s="31">
        <v>0</v>
      </c>
      <c r="G6" s="31">
        <v>0</v>
      </c>
      <c r="H6" s="31">
        <v>0</v>
      </c>
      <c r="I6" s="35">
        <v>3</v>
      </c>
      <c r="J6" s="31">
        <v>0</v>
      </c>
      <c r="K6" s="31">
        <v>0</v>
      </c>
      <c r="L6" s="31">
        <v>3</v>
      </c>
      <c r="M6" s="31">
        <v>3</v>
      </c>
      <c r="N6" s="31">
        <v>3</v>
      </c>
      <c r="O6" s="36">
        <v>100</v>
      </c>
      <c r="P6" s="37">
        <v>50</v>
      </c>
      <c r="Q6" s="38">
        <f>IFERROR((E6+J6)*100/(D6+J6),0)</f>
        <v>100</v>
      </c>
      <c r="R6" s="38">
        <f>IFERROR(M6*100/C6,0)</f>
        <v>50</v>
      </c>
      <c r="S6" s="39" t="b">
        <f>O6=Q6</f>
        <v>1</v>
      </c>
      <c r="T6" s="39" t="b">
        <f>P6=R6</f>
        <v>1</v>
      </c>
    </row>
    <row r="7" spans="1:20" s="40" customFormat="1" ht="25.05" customHeight="1">
      <c r="A7" s="31">
        <v>2</v>
      </c>
      <c r="B7" s="32" t="s">
        <v>63</v>
      </c>
      <c r="C7" s="31">
        <v>5</v>
      </c>
      <c r="D7" s="35">
        <v>2</v>
      </c>
      <c r="E7" s="31">
        <v>2</v>
      </c>
      <c r="F7" s="31">
        <v>0</v>
      </c>
      <c r="G7" s="31">
        <v>0</v>
      </c>
      <c r="H7" s="31">
        <v>0</v>
      </c>
      <c r="I7" s="35">
        <v>3</v>
      </c>
      <c r="J7" s="31">
        <v>0</v>
      </c>
      <c r="K7" s="31">
        <v>0</v>
      </c>
      <c r="L7" s="31">
        <v>3</v>
      </c>
      <c r="M7" s="31">
        <v>2</v>
      </c>
      <c r="N7" s="31">
        <v>3</v>
      </c>
      <c r="O7" s="36">
        <v>100</v>
      </c>
      <c r="P7" s="37">
        <v>40</v>
      </c>
      <c r="Q7" s="38">
        <f t="shared" ref="Q7:Q39" si="0">IFERROR((E7+J7)*100/(D7+J7),0)</f>
        <v>100</v>
      </c>
      <c r="R7" s="38">
        <f t="shared" ref="R7:R39" si="1">IFERROR(M7*100/C7,0)</f>
        <v>40</v>
      </c>
      <c r="S7" s="39" t="b">
        <f t="shared" ref="S7:T39" si="2">O7=Q7</f>
        <v>1</v>
      </c>
      <c r="T7" s="39" t="b">
        <f t="shared" si="2"/>
        <v>1</v>
      </c>
    </row>
    <row r="8" spans="1:20" s="40" customFormat="1" ht="25.05" customHeight="1">
      <c r="A8" s="31">
        <v>3</v>
      </c>
      <c r="B8" s="32" t="s">
        <v>61</v>
      </c>
      <c r="C8" s="31">
        <v>4</v>
      </c>
      <c r="D8" s="35">
        <v>2</v>
      </c>
      <c r="E8" s="31">
        <v>2</v>
      </c>
      <c r="F8" s="31">
        <v>0</v>
      </c>
      <c r="G8" s="31">
        <v>0</v>
      </c>
      <c r="H8" s="31">
        <v>0</v>
      </c>
      <c r="I8" s="35">
        <v>2</v>
      </c>
      <c r="J8" s="31">
        <v>2</v>
      </c>
      <c r="K8" s="31">
        <v>0</v>
      </c>
      <c r="L8" s="31">
        <v>0</v>
      </c>
      <c r="M8" s="31">
        <v>4</v>
      </c>
      <c r="N8" s="31">
        <v>0</v>
      </c>
      <c r="O8" s="36">
        <v>100</v>
      </c>
      <c r="P8" s="37">
        <v>100</v>
      </c>
      <c r="Q8" s="38">
        <f t="shared" si="0"/>
        <v>100</v>
      </c>
      <c r="R8" s="38">
        <f t="shared" si="1"/>
        <v>100</v>
      </c>
      <c r="S8" s="39" t="b">
        <f t="shared" si="2"/>
        <v>1</v>
      </c>
      <c r="T8" s="39" t="b">
        <f t="shared" si="2"/>
        <v>1</v>
      </c>
    </row>
    <row r="9" spans="1:20" s="40" customFormat="1" ht="25.05" customHeight="1">
      <c r="A9" s="31">
        <v>4</v>
      </c>
      <c r="B9" s="32" t="s">
        <v>44</v>
      </c>
      <c r="C9" s="33">
        <v>3</v>
      </c>
      <c r="D9" s="34">
        <v>2</v>
      </c>
      <c r="E9" s="33">
        <v>2</v>
      </c>
      <c r="F9" s="33">
        <v>0</v>
      </c>
      <c r="G9" s="33">
        <v>0</v>
      </c>
      <c r="H9" s="31">
        <v>0</v>
      </c>
      <c r="I9" s="35">
        <v>1</v>
      </c>
      <c r="J9" s="31">
        <v>0</v>
      </c>
      <c r="K9" s="31">
        <v>0</v>
      </c>
      <c r="L9" s="31">
        <v>1</v>
      </c>
      <c r="M9" s="31">
        <v>2</v>
      </c>
      <c r="N9" s="31">
        <v>1</v>
      </c>
      <c r="O9" s="36">
        <v>100</v>
      </c>
      <c r="P9" s="37">
        <v>66.666666666666671</v>
      </c>
      <c r="Q9" s="38">
        <f t="shared" si="0"/>
        <v>100</v>
      </c>
      <c r="R9" s="38">
        <f t="shared" si="1"/>
        <v>66.666666666666671</v>
      </c>
      <c r="S9" s="39" t="b">
        <f t="shared" si="2"/>
        <v>1</v>
      </c>
      <c r="T9" s="39" t="b">
        <f t="shared" si="2"/>
        <v>1</v>
      </c>
    </row>
    <row r="10" spans="1:20" s="40" customFormat="1" ht="25.05" customHeight="1">
      <c r="A10" s="31">
        <v>5</v>
      </c>
      <c r="B10" s="32" t="s">
        <v>58</v>
      </c>
      <c r="C10" s="31">
        <v>3</v>
      </c>
      <c r="D10" s="35">
        <v>2</v>
      </c>
      <c r="E10" s="31">
        <v>2</v>
      </c>
      <c r="F10" s="31">
        <v>0</v>
      </c>
      <c r="G10" s="31">
        <v>0</v>
      </c>
      <c r="H10" s="31">
        <v>0</v>
      </c>
      <c r="I10" s="35">
        <v>1</v>
      </c>
      <c r="J10" s="31">
        <v>0</v>
      </c>
      <c r="K10" s="31">
        <v>0</v>
      </c>
      <c r="L10" s="31">
        <v>1</v>
      </c>
      <c r="M10" s="31">
        <v>2</v>
      </c>
      <c r="N10" s="31">
        <v>1</v>
      </c>
      <c r="O10" s="36">
        <v>100</v>
      </c>
      <c r="P10" s="37">
        <v>66.666666666666671</v>
      </c>
      <c r="Q10" s="38">
        <f t="shared" si="0"/>
        <v>100</v>
      </c>
      <c r="R10" s="38">
        <f t="shared" si="1"/>
        <v>66.666666666666671</v>
      </c>
      <c r="S10" s="39" t="b">
        <f t="shared" si="2"/>
        <v>1</v>
      </c>
      <c r="T10" s="39" t="b">
        <f t="shared" si="2"/>
        <v>1</v>
      </c>
    </row>
    <row r="11" spans="1:20" s="40" customFormat="1" ht="25.05" customHeight="1">
      <c r="A11" s="31">
        <v>6</v>
      </c>
      <c r="B11" s="32" t="s">
        <v>52</v>
      </c>
      <c r="C11" s="31">
        <v>3</v>
      </c>
      <c r="D11" s="35">
        <v>1</v>
      </c>
      <c r="E11" s="31">
        <v>1</v>
      </c>
      <c r="F11" s="31">
        <v>0</v>
      </c>
      <c r="G11" s="31">
        <v>0</v>
      </c>
      <c r="H11" s="31">
        <v>0</v>
      </c>
      <c r="I11" s="35">
        <v>2</v>
      </c>
      <c r="J11" s="31">
        <v>0</v>
      </c>
      <c r="K11" s="31">
        <v>0</v>
      </c>
      <c r="L11" s="31">
        <v>2</v>
      </c>
      <c r="M11" s="31">
        <v>1</v>
      </c>
      <c r="N11" s="31">
        <v>2</v>
      </c>
      <c r="O11" s="37">
        <v>100</v>
      </c>
      <c r="P11" s="37">
        <v>33.333333333333336</v>
      </c>
      <c r="Q11" s="38">
        <f t="shared" si="0"/>
        <v>100</v>
      </c>
      <c r="R11" s="38">
        <f t="shared" si="1"/>
        <v>33.333333333333336</v>
      </c>
      <c r="S11" s="39" t="b">
        <f t="shared" si="2"/>
        <v>1</v>
      </c>
      <c r="T11" s="39" t="b">
        <f t="shared" si="2"/>
        <v>1</v>
      </c>
    </row>
    <row r="12" spans="1:20" s="40" customFormat="1" ht="25.05" customHeight="1">
      <c r="A12" s="31">
        <v>7</v>
      </c>
      <c r="B12" s="32" t="s">
        <v>50</v>
      </c>
      <c r="C12" s="33">
        <v>2</v>
      </c>
      <c r="D12" s="34">
        <v>1</v>
      </c>
      <c r="E12" s="33">
        <v>1</v>
      </c>
      <c r="F12" s="33">
        <v>0</v>
      </c>
      <c r="G12" s="33">
        <v>0</v>
      </c>
      <c r="H12" s="31">
        <v>0</v>
      </c>
      <c r="I12" s="35">
        <v>1</v>
      </c>
      <c r="J12" s="31">
        <v>0</v>
      </c>
      <c r="K12" s="31">
        <v>0</v>
      </c>
      <c r="L12" s="31">
        <v>1</v>
      </c>
      <c r="M12" s="31">
        <v>1</v>
      </c>
      <c r="N12" s="31">
        <v>1</v>
      </c>
      <c r="O12" s="37">
        <v>100</v>
      </c>
      <c r="P12" s="37">
        <v>50</v>
      </c>
      <c r="Q12" s="38">
        <f t="shared" si="0"/>
        <v>100</v>
      </c>
      <c r="R12" s="38">
        <f t="shared" si="1"/>
        <v>50</v>
      </c>
      <c r="S12" s="39" t="b">
        <f t="shared" si="2"/>
        <v>1</v>
      </c>
      <c r="T12" s="39" t="b">
        <f t="shared" si="2"/>
        <v>1</v>
      </c>
    </row>
    <row r="13" spans="1:20" s="40" customFormat="1" ht="25.05" customHeight="1">
      <c r="A13" s="31">
        <v>8</v>
      </c>
      <c r="B13" s="32" t="s">
        <v>48</v>
      </c>
      <c r="C13" s="31">
        <v>2</v>
      </c>
      <c r="D13" s="35">
        <v>1</v>
      </c>
      <c r="E13" s="31">
        <v>1</v>
      </c>
      <c r="F13" s="31">
        <v>0</v>
      </c>
      <c r="G13" s="31">
        <v>0</v>
      </c>
      <c r="H13" s="31">
        <v>0</v>
      </c>
      <c r="I13" s="35">
        <v>1</v>
      </c>
      <c r="J13" s="31">
        <v>0</v>
      </c>
      <c r="K13" s="31">
        <v>0</v>
      </c>
      <c r="L13" s="31">
        <v>1</v>
      </c>
      <c r="M13" s="31">
        <v>1</v>
      </c>
      <c r="N13" s="31">
        <v>1</v>
      </c>
      <c r="O13" s="37">
        <v>100</v>
      </c>
      <c r="P13" s="37">
        <v>50</v>
      </c>
      <c r="Q13" s="38">
        <f t="shared" si="0"/>
        <v>100</v>
      </c>
      <c r="R13" s="38">
        <f t="shared" si="1"/>
        <v>50</v>
      </c>
      <c r="S13" s="39" t="b">
        <f t="shared" si="2"/>
        <v>1</v>
      </c>
      <c r="T13" s="39" t="b">
        <f t="shared" si="2"/>
        <v>1</v>
      </c>
    </row>
    <row r="14" spans="1:20" s="40" customFormat="1" ht="25.05" customHeight="1">
      <c r="A14" s="31">
        <v>9</v>
      </c>
      <c r="B14" s="32" t="s">
        <v>46</v>
      </c>
      <c r="C14" s="33">
        <v>2</v>
      </c>
      <c r="D14" s="34">
        <v>0</v>
      </c>
      <c r="E14" s="33">
        <v>0</v>
      </c>
      <c r="F14" s="33">
        <v>0</v>
      </c>
      <c r="G14" s="33">
        <v>0</v>
      </c>
      <c r="H14" s="31">
        <v>0</v>
      </c>
      <c r="I14" s="35">
        <v>2</v>
      </c>
      <c r="J14" s="31">
        <v>2</v>
      </c>
      <c r="K14" s="31">
        <v>0</v>
      </c>
      <c r="L14" s="31">
        <v>0</v>
      </c>
      <c r="M14" s="31">
        <v>2</v>
      </c>
      <c r="N14" s="31">
        <v>0</v>
      </c>
      <c r="O14" s="37">
        <v>100</v>
      </c>
      <c r="P14" s="37">
        <v>100</v>
      </c>
      <c r="Q14" s="38">
        <f t="shared" si="0"/>
        <v>100</v>
      </c>
      <c r="R14" s="38">
        <f t="shared" si="1"/>
        <v>100</v>
      </c>
      <c r="S14" s="39" t="b">
        <f t="shared" si="2"/>
        <v>1</v>
      </c>
      <c r="T14" s="39" t="b">
        <f t="shared" si="2"/>
        <v>1</v>
      </c>
    </row>
    <row r="15" spans="1:20" s="40" customFormat="1" ht="25.05" customHeight="1">
      <c r="A15" s="31">
        <v>10</v>
      </c>
      <c r="B15" s="32" t="s">
        <v>49</v>
      </c>
      <c r="C15" s="31">
        <v>6</v>
      </c>
      <c r="D15" s="35">
        <v>5</v>
      </c>
      <c r="E15" s="31">
        <v>4</v>
      </c>
      <c r="F15" s="31">
        <v>0</v>
      </c>
      <c r="G15" s="31">
        <v>0</v>
      </c>
      <c r="H15" s="31">
        <v>1</v>
      </c>
      <c r="I15" s="35">
        <v>1</v>
      </c>
      <c r="J15" s="31">
        <v>0</v>
      </c>
      <c r="K15" s="31">
        <v>0</v>
      </c>
      <c r="L15" s="31">
        <v>1</v>
      </c>
      <c r="M15" s="31">
        <v>4</v>
      </c>
      <c r="N15" s="31">
        <v>2</v>
      </c>
      <c r="O15" s="37">
        <v>80</v>
      </c>
      <c r="P15" s="37">
        <v>66.666666666666671</v>
      </c>
      <c r="Q15" s="38">
        <f t="shared" si="0"/>
        <v>80</v>
      </c>
      <c r="R15" s="38">
        <f t="shared" si="1"/>
        <v>66.666666666666671</v>
      </c>
      <c r="S15" s="39" t="b">
        <f t="shared" si="2"/>
        <v>1</v>
      </c>
      <c r="T15" s="39" t="b">
        <f t="shared" si="2"/>
        <v>1</v>
      </c>
    </row>
    <row r="16" spans="1:20" s="40" customFormat="1" ht="25.05" customHeight="1">
      <c r="A16" s="31">
        <v>11</v>
      </c>
      <c r="B16" s="32" t="s">
        <v>47</v>
      </c>
      <c r="C16" s="31">
        <v>10</v>
      </c>
      <c r="D16" s="35">
        <v>8</v>
      </c>
      <c r="E16" s="31">
        <v>6</v>
      </c>
      <c r="F16" s="31">
        <v>0</v>
      </c>
      <c r="G16" s="31">
        <v>0</v>
      </c>
      <c r="H16" s="31">
        <v>2</v>
      </c>
      <c r="I16" s="35">
        <v>2</v>
      </c>
      <c r="J16" s="31">
        <v>1</v>
      </c>
      <c r="K16" s="31">
        <v>0</v>
      </c>
      <c r="L16" s="31">
        <v>1</v>
      </c>
      <c r="M16" s="31">
        <v>7</v>
      </c>
      <c r="N16" s="31">
        <v>3</v>
      </c>
      <c r="O16" s="37">
        <v>77.777777777777771</v>
      </c>
      <c r="P16" s="37">
        <v>70</v>
      </c>
      <c r="Q16" s="38">
        <f t="shared" si="0"/>
        <v>77.777777777777771</v>
      </c>
      <c r="R16" s="38">
        <f t="shared" si="1"/>
        <v>70</v>
      </c>
      <c r="S16" s="39" t="b">
        <f t="shared" si="2"/>
        <v>1</v>
      </c>
      <c r="T16" s="39" t="b">
        <f t="shared" si="2"/>
        <v>1</v>
      </c>
    </row>
    <row r="17" spans="1:20" s="40" customFormat="1" ht="25.05" customHeight="1">
      <c r="A17" s="31">
        <v>12</v>
      </c>
      <c r="B17" s="32" t="s">
        <v>69</v>
      </c>
      <c r="C17" s="31">
        <v>3</v>
      </c>
      <c r="D17" s="35">
        <v>3</v>
      </c>
      <c r="E17" s="31">
        <v>2</v>
      </c>
      <c r="F17" s="31">
        <v>0</v>
      </c>
      <c r="G17" s="31">
        <v>0</v>
      </c>
      <c r="H17" s="31">
        <v>1</v>
      </c>
      <c r="I17" s="35">
        <v>0</v>
      </c>
      <c r="J17" s="31">
        <v>0</v>
      </c>
      <c r="K17" s="31">
        <v>0</v>
      </c>
      <c r="L17" s="31">
        <v>0</v>
      </c>
      <c r="M17" s="31">
        <v>2</v>
      </c>
      <c r="N17" s="31">
        <v>1</v>
      </c>
      <c r="O17" s="37">
        <v>66.666666666666671</v>
      </c>
      <c r="P17" s="37">
        <v>66.666666666666671</v>
      </c>
      <c r="Q17" s="38">
        <f t="shared" si="0"/>
        <v>66.666666666666671</v>
      </c>
      <c r="R17" s="38">
        <f t="shared" si="1"/>
        <v>66.666666666666671</v>
      </c>
      <c r="S17" s="39" t="b">
        <f t="shared" si="2"/>
        <v>1</v>
      </c>
      <c r="T17" s="39" t="b">
        <f t="shared" si="2"/>
        <v>1</v>
      </c>
    </row>
    <row r="18" spans="1:20" s="40" customFormat="1" ht="25.05" customHeight="1">
      <c r="A18" s="31">
        <v>13</v>
      </c>
      <c r="B18" s="32" t="s">
        <v>56</v>
      </c>
      <c r="C18" s="31">
        <v>4</v>
      </c>
      <c r="D18" s="35">
        <v>2</v>
      </c>
      <c r="E18" s="31">
        <v>1</v>
      </c>
      <c r="F18" s="31">
        <v>0</v>
      </c>
      <c r="G18" s="31">
        <v>0</v>
      </c>
      <c r="H18" s="31">
        <v>1</v>
      </c>
      <c r="I18" s="35">
        <v>2</v>
      </c>
      <c r="J18" s="31">
        <v>1</v>
      </c>
      <c r="K18" s="31">
        <v>0</v>
      </c>
      <c r="L18" s="31">
        <v>1</v>
      </c>
      <c r="M18" s="31">
        <v>2</v>
      </c>
      <c r="N18" s="31">
        <v>2</v>
      </c>
      <c r="O18" s="37">
        <v>66.666666666666671</v>
      </c>
      <c r="P18" s="37">
        <v>50</v>
      </c>
      <c r="Q18" s="38">
        <f t="shared" si="0"/>
        <v>66.666666666666671</v>
      </c>
      <c r="R18" s="38">
        <f t="shared" si="1"/>
        <v>50</v>
      </c>
      <c r="S18" s="39" t="b">
        <f t="shared" si="2"/>
        <v>1</v>
      </c>
      <c r="T18" s="39" t="b">
        <f t="shared" si="2"/>
        <v>1</v>
      </c>
    </row>
    <row r="19" spans="1:20" s="40" customFormat="1" ht="25.05" customHeight="1">
      <c r="A19" s="31">
        <v>14</v>
      </c>
      <c r="B19" s="32" t="s">
        <v>51</v>
      </c>
      <c r="C19" s="31">
        <v>3</v>
      </c>
      <c r="D19" s="35">
        <v>2</v>
      </c>
      <c r="E19" s="31">
        <v>1</v>
      </c>
      <c r="F19" s="31">
        <v>0</v>
      </c>
      <c r="G19" s="31">
        <v>0</v>
      </c>
      <c r="H19" s="31">
        <v>1</v>
      </c>
      <c r="I19" s="35">
        <v>1</v>
      </c>
      <c r="J19" s="31">
        <v>1</v>
      </c>
      <c r="K19" s="31">
        <v>0</v>
      </c>
      <c r="L19" s="31">
        <v>0</v>
      </c>
      <c r="M19" s="31">
        <v>2</v>
      </c>
      <c r="N19" s="31">
        <v>1</v>
      </c>
      <c r="O19" s="37">
        <v>66.666666666666671</v>
      </c>
      <c r="P19" s="37">
        <v>66.666666666666671</v>
      </c>
      <c r="Q19" s="38">
        <f t="shared" si="0"/>
        <v>66.666666666666671</v>
      </c>
      <c r="R19" s="38">
        <f t="shared" si="1"/>
        <v>66.666666666666671</v>
      </c>
      <c r="S19" s="39" t="b">
        <f t="shared" si="2"/>
        <v>1</v>
      </c>
      <c r="T19" s="39" t="b">
        <f t="shared" si="2"/>
        <v>1</v>
      </c>
    </row>
    <row r="20" spans="1:20" s="40" customFormat="1" ht="25.05" customHeight="1">
      <c r="A20" s="31">
        <v>15</v>
      </c>
      <c r="B20" s="32" t="s">
        <v>62</v>
      </c>
      <c r="C20" s="31">
        <v>12</v>
      </c>
      <c r="D20" s="35">
        <v>9</v>
      </c>
      <c r="E20" s="31">
        <v>5</v>
      </c>
      <c r="F20" s="31">
        <v>0</v>
      </c>
      <c r="G20" s="31">
        <v>0</v>
      </c>
      <c r="H20" s="31">
        <v>4</v>
      </c>
      <c r="I20" s="35">
        <v>3</v>
      </c>
      <c r="J20" s="31">
        <v>1</v>
      </c>
      <c r="K20" s="31">
        <v>0</v>
      </c>
      <c r="L20" s="31">
        <v>2</v>
      </c>
      <c r="M20" s="31">
        <v>6</v>
      </c>
      <c r="N20" s="31">
        <v>6</v>
      </c>
      <c r="O20" s="37">
        <v>60</v>
      </c>
      <c r="P20" s="37">
        <v>50</v>
      </c>
      <c r="Q20" s="38">
        <f t="shared" si="0"/>
        <v>60</v>
      </c>
      <c r="R20" s="38">
        <f t="shared" si="1"/>
        <v>50</v>
      </c>
      <c r="S20" s="39" t="b">
        <f t="shared" si="2"/>
        <v>1</v>
      </c>
      <c r="T20" s="39" t="b">
        <f t="shared" si="2"/>
        <v>1</v>
      </c>
    </row>
    <row r="21" spans="1:20" s="40" customFormat="1" ht="25.05" customHeight="1">
      <c r="A21" s="31">
        <v>16</v>
      </c>
      <c r="B21" s="32" t="s">
        <v>57</v>
      </c>
      <c r="C21" s="31">
        <v>17</v>
      </c>
      <c r="D21" s="35">
        <v>10</v>
      </c>
      <c r="E21" s="31">
        <v>5</v>
      </c>
      <c r="F21" s="31">
        <v>1</v>
      </c>
      <c r="G21" s="31">
        <v>0</v>
      </c>
      <c r="H21" s="31">
        <v>4</v>
      </c>
      <c r="I21" s="35">
        <v>7</v>
      </c>
      <c r="J21" s="31">
        <v>0</v>
      </c>
      <c r="K21" s="31">
        <v>0</v>
      </c>
      <c r="L21" s="31">
        <v>7</v>
      </c>
      <c r="M21" s="31">
        <v>6</v>
      </c>
      <c r="N21" s="31">
        <v>11</v>
      </c>
      <c r="O21" s="37">
        <v>50</v>
      </c>
      <c r="P21" s="37">
        <v>35.294117647058826</v>
      </c>
      <c r="Q21" s="38">
        <f t="shared" si="0"/>
        <v>50</v>
      </c>
      <c r="R21" s="38">
        <f t="shared" si="1"/>
        <v>35.294117647058826</v>
      </c>
      <c r="S21" s="39" t="b">
        <f t="shared" si="2"/>
        <v>1</v>
      </c>
      <c r="T21" s="39" t="b">
        <f t="shared" si="2"/>
        <v>1</v>
      </c>
    </row>
    <row r="22" spans="1:20" s="40" customFormat="1" ht="25.05" customHeight="1">
      <c r="A22" s="31">
        <v>17</v>
      </c>
      <c r="B22" s="32" t="s">
        <v>71</v>
      </c>
      <c r="C22" s="31">
        <v>5</v>
      </c>
      <c r="D22" s="35">
        <v>2</v>
      </c>
      <c r="E22" s="31">
        <v>1</v>
      </c>
      <c r="F22" s="31">
        <v>0</v>
      </c>
      <c r="G22" s="31">
        <v>0</v>
      </c>
      <c r="H22" s="31">
        <v>1</v>
      </c>
      <c r="I22" s="35">
        <v>3</v>
      </c>
      <c r="J22" s="31">
        <v>0</v>
      </c>
      <c r="K22" s="31">
        <v>0</v>
      </c>
      <c r="L22" s="31">
        <v>3</v>
      </c>
      <c r="M22" s="31">
        <v>1</v>
      </c>
      <c r="N22" s="31">
        <v>4</v>
      </c>
      <c r="O22" s="37">
        <v>50</v>
      </c>
      <c r="P22" s="37">
        <v>20</v>
      </c>
      <c r="Q22" s="38">
        <f t="shared" si="0"/>
        <v>50</v>
      </c>
      <c r="R22" s="38">
        <f t="shared" si="1"/>
        <v>20</v>
      </c>
      <c r="S22" s="39" t="b">
        <f t="shared" si="2"/>
        <v>1</v>
      </c>
      <c r="T22" s="39" t="b">
        <f t="shared" si="2"/>
        <v>1</v>
      </c>
    </row>
    <row r="23" spans="1:20" s="40" customFormat="1" ht="25.05" customHeight="1">
      <c r="A23" s="31">
        <v>18</v>
      </c>
      <c r="B23" s="32" t="s">
        <v>70</v>
      </c>
      <c r="C23" s="31">
        <v>4</v>
      </c>
      <c r="D23" s="35">
        <v>2</v>
      </c>
      <c r="E23" s="31">
        <v>1</v>
      </c>
      <c r="F23" s="31">
        <v>0</v>
      </c>
      <c r="G23" s="31">
        <v>0</v>
      </c>
      <c r="H23" s="31">
        <v>1</v>
      </c>
      <c r="I23" s="35">
        <v>2</v>
      </c>
      <c r="J23" s="31">
        <v>0</v>
      </c>
      <c r="K23" s="31">
        <v>0</v>
      </c>
      <c r="L23" s="31">
        <v>2</v>
      </c>
      <c r="M23" s="31">
        <v>1</v>
      </c>
      <c r="N23" s="31">
        <v>3</v>
      </c>
      <c r="O23" s="37">
        <v>50</v>
      </c>
      <c r="P23" s="37">
        <v>25</v>
      </c>
      <c r="Q23" s="38">
        <f t="shared" si="0"/>
        <v>50</v>
      </c>
      <c r="R23" s="38">
        <f t="shared" si="1"/>
        <v>25</v>
      </c>
      <c r="S23" s="39" t="b">
        <f t="shared" si="2"/>
        <v>1</v>
      </c>
      <c r="T23" s="39" t="b">
        <f t="shared" si="2"/>
        <v>1</v>
      </c>
    </row>
    <row r="24" spans="1:20" s="40" customFormat="1" ht="25.05" customHeight="1">
      <c r="A24" s="31">
        <v>19</v>
      </c>
      <c r="B24" s="32" t="s">
        <v>68</v>
      </c>
      <c r="C24" s="31">
        <v>3</v>
      </c>
      <c r="D24" s="35">
        <v>2</v>
      </c>
      <c r="E24" s="31">
        <v>1</v>
      </c>
      <c r="F24" s="31">
        <v>1</v>
      </c>
      <c r="G24" s="31">
        <v>0</v>
      </c>
      <c r="H24" s="31">
        <v>0</v>
      </c>
      <c r="I24" s="35">
        <v>1</v>
      </c>
      <c r="J24" s="31">
        <v>0</v>
      </c>
      <c r="K24" s="31">
        <v>0</v>
      </c>
      <c r="L24" s="31">
        <v>1</v>
      </c>
      <c r="M24" s="31">
        <v>2</v>
      </c>
      <c r="N24" s="31">
        <v>1</v>
      </c>
      <c r="O24" s="37">
        <v>50</v>
      </c>
      <c r="P24" s="37">
        <v>66.666666666666671</v>
      </c>
      <c r="Q24" s="38">
        <f t="shared" si="0"/>
        <v>50</v>
      </c>
      <c r="R24" s="38">
        <f t="shared" si="1"/>
        <v>66.666666666666671</v>
      </c>
      <c r="S24" s="39" t="b">
        <f t="shared" si="2"/>
        <v>1</v>
      </c>
      <c r="T24" s="39" t="b">
        <f t="shared" si="2"/>
        <v>1</v>
      </c>
    </row>
    <row r="25" spans="1:20" s="40" customFormat="1" ht="25.05" customHeight="1">
      <c r="A25" s="31">
        <v>20</v>
      </c>
      <c r="B25" s="32" t="s">
        <v>42</v>
      </c>
      <c r="C25" s="33">
        <v>2</v>
      </c>
      <c r="D25" s="34">
        <v>2</v>
      </c>
      <c r="E25" s="33">
        <v>1</v>
      </c>
      <c r="F25" s="33">
        <v>0</v>
      </c>
      <c r="G25" s="33">
        <v>0</v>
      </c>
      <c r="H25" s="31">
        <v>1</v>
      </c>
      <c r="I25" s="35">
        <v>0</v>
      </c>
      <c r="J25" s="31">
        <v>0</v>
      </c>
      <c r="K25" s="31">
        <v>0</v>
      </c>
      <c r="L25" s="31">
        <v>0</v>
      </c>
      <c r="M25" s="31">
        <v>1</v>
      </c>
      <c r="N25" s="31">
        <v>1</v>
      </c>
      <c r="O25" s="37">
        <v>50</v>
      </c>
      <c r="P25" s="37">
        <v>50</v>
      </c>
      <c r="Q25" s="38">
        <f t="shared" si="0"/>
        <v>50</v>
      </c>
      <c r="R25" s="38">
        <f t="shared" si="1"/>
        <v>50</v>
      </c>
      <c r="S25" s="39" t="b">
        <f t="shared" si="2"/>
        <v>1</v>
      </c>
      <c r="T25" s="39" t="b">
        <f t="shared" si="2"/>
        <v>1</v>
      </c>
    </row>
    <row r="26" spans="1:20" s="40" customFormat="1" ht="25.05" customHeight="1">
      <c r="A26" s="31">
        <v>21</v>
      </c>
      <c r="B26" s="32" t="s">
        <v>73</v>
      </c>
      <c r="C26" s="31">
        <v>2</v>
      </c>
      <c r="D26" s="35">
        <v>2</v>
      </c>
      <c r="E26" s="31">
        <v>1</v>
      </c>
      <c r="F26" s="31">
        <v>0</v>
      </c>
      <c r="G26" s="31">
        <v>0</v>
      </c>
      <c r="H26" s="31">
        <v>1</v>
      </c>
      <c r="I26" s="35">
        <v>0</v>
      </c>
      <c r="J26" s="31">
        <v>0</v>
      </c>
      <c r="K26" s="31">
        <v>0</v>
      </c>
      <c r="L26" s="31">
        <v>0</v>
      </c>
      <c r="M26" s="31">
        <v>1</v>
      </c>
      <c r="N26" s="31">
        <v>1</v>
      </c>
      <c r="O26" s="37">
        <v>50</v>
      </c>
      <c r="P26" s="37">
        <v>50</v>
      </c>
      <c r="Q26" s="38">
        <f t="shared" si="0"/>
        <v>50</v>
      </c>
      <c r="R26" s="38">
        <f t="shared" si="1"/>
        <v>50</v>
      </c>
      <c r="S26" s="39" t="b">
        <f t="shared" si="2"/>
        <v>1</v>
      </c>
      <c r="T26" s="39" t="b">
        <f t="shared" si="2"/>
        <v>1</v>
      </c>
    </row>
    <row r="27" spans="1:20" s="40" customFormat="1" ht="25.05" customHeight="1">
      <c r="A27" s="31">
        <v>22</v>
      </c>
      <c r="B27" s="32" t="s">
        <v>43</v>
      </c>
      <c r="C27" s="33">
        <v>8</v>
      </c>
      <c r="D27" s="34">
        <v>4</v>
      </c>
      <c r="E27" s="33">
        <v>1</v>
      </c>
      <c r="F27" s="33">
        <v>0</v>
      </c>
      <c r="G27" s="33">
        <v>0</v>
      </c>
      <c r="H27" s="31">
        <v>3</v>
      </c>
      <c r="I27" s="35">
        <v>4</v>
      </c>
      <c r="J27" s="31">
        <v>1</v>
      </c>
      <c r="K27" s="31">
        <v>0</v>
      </c>
      <c r="L27" s="31">
        <v>3</v>
      </c>
      <c r="M27" s="31">
        <v>2</v>
      </c>
      <c r="N27" s="31">
        <v>6</v>
      </c>
      <c r="O27" s="37">
        <v>40</v>
      </c>
      <c r="P27" s="37">
        <v>25</v>
      </c>
      <c r="Q27" s="38">
        <f t="shared" si="0"/>
        <v>40</v>
      </c>
      <c r="R27" s="38">
        <f t="shared" si="1"/>
        <v>25</v>
      </c>
      <c r="S27" s="39" t="b">
        <f t="shared" si="2"/>
        <v>1</v>
      </c>
      <c r="T27" s="39" t="b">
        <f t="shared" si="2"/>
        <v>1</v>
      </c>
    </row>
    <row r="28" spans="1:20" s="40" customFormat="1" ht="25.05" customHeight="1">
      <c r="A28" s="31">
        <v>23</v>
      </c>
      <c r="B28" s="32" t="s">
        <v>55</v>
      </c>
      <c r="C28" s="31">
        <v>4</v>
      </c>
      <c r="D28" s="35">
        <v>3</v>
      </c>
      <c r="E28" s="31">
        <v>1</v>
      </c>
      <c r="F28" s="31">
        <v>1</v>
      </c>
      <c r="G28" s="31">
        <v>0</v>
      </c>
      <c r="H28" s="31">
        <v>1</v>
      </c>
      <c r="I28" s="35">
        <v>1</v>
      </c>
      <c r="J28" s="31">
        <v>0</v>
      </c>
      <c r="K28" s="31">
        <v>0</v>
      </c>
      <c r="L28" s="31">
        <v>1</v>
      </c>
      <c r="M28" s="31">
        <v>2</v>
      </c>
      <c r="N28" s="31">
        <v>2</v>
      </c>
      <c r="O28" s="37">
        <v>33.333333333333336</v>
      </c>
      <c r="P28" s="37">
        <v>50</v>
      </c>
      <c r="Q28" s="38">
        <f t="shared" si="0"/>
        <v>33.333333333333336</v>
      </c>
      <c r="R28" s="38">
        <f t="shared" si="1"/>
        <v>50</v>
      </c>
      <c r="S28" s="39" t="b">
        <f t="shared" si="2"/>
        <v>1</v>
      </c>
      <c r="T28" s="39" t="b">
        <f t="shared" si="2"/>
        <v>1</v>
      </c>
    </row>
    <row r="29" spans="1:20" s="40" customFormat="1" ht="25.05" customHeight="1">
      <c r="A29" s="31">
        <v>24</v>
      </c>
      <c r="B29" s="32" t="s">
        <v>60</v>
      </c>
      <c r="C29" s="31">
        <v>3</v>
      </c>
      <c r="D29" s="35">
        <v>3</v>
      </c>
      <c r="E29" s="31">
        <v>1</v>
      </c>
      <c r="F29" s="31">
        <v>1</v>
      </c>
      <c r="G29" s="31">
        <v>0</v>
      </c>
      <c r="H29" s="31">
        <v>1</v>
      </c>
      <c r="I29" s="35">
        <v>0</v>
      </c>
      <c r="J29" s="31">
        <v>0</v>
      </c>
      <c r="K29" s="31">
        <v>0</v>
      </c>
      <c r="L29" s="31">
        <v>0</v>
      </c>
      <c r="M29" s="31">
        <v>2</v>
      </c>
      <c r="N29" s="31">
        <v>1</v>
      </c>
      <c r="O29" s="37">
        <v>33.333333333333336</v>
      </c>
      <c r="P29" s="37">
        <v>66.666666666666671</v>
      </c>
      <c r="Q29" s="38">
        <f t="shared" si="0"/>
        <v>33.333333333333336</v>
      </c>
      <c r="R29" s="38">
        <f t="shared" si="1"/>
        <v>66.666666666666671</v>
      </c>
      <c r="S29" s="39" t="b">
        <f t="shared" si="2"/>
        <v>1</v>
      </c>
      <c r="T29" s="39" t="b">
        <f t="shared" si="2"/>
        <v>1</v>
      </c>
    </row>
    <row r="30" spans="1:20" s="40" customFormat="1" ht="25.05" customHeight="1">
      <c r="A30" s="31">
        <v>25</v>
      </c>
      <c r="B30" s="32" t="s">
        <v>64</v>
      </c>
      <c r="C30" s="31">
        <v>9</v>
      </c>
      <c r="D30" s="35">
        <v>9</v>
      </c>
      <c r="E30" s="31">
        <v>2</v>
      </c>
      <c r="F30" s="31">
        <v>0</v>
      </c>
      <c r="G30" s="31">
        <v>0</v>
      </c>
      <c r="H30" s="31">
        <v>7</v>
      </c>
      <c r="I30" s="35">
        <v>0</v>
      </c>
      <c r="J30" s="31">
        <v>0</v>
      </c>
      <c r="K30" s="31">
        <v>0</v>
      </c>
      <c r="L30" s="31">
        <v>0</v>
      </c>
      <c r="M30" s="31">
        <v>2</v>
      </c>
      <c r="N30" s="31">
        <v>7</v>
      </c>
      <c r="O30" s="37">
        <v>22.222222222222221</v>
      </c>
      <c r="P30" s="37">
        <v>22.222222222222221</v>
      </c>
      <c r="Q30" s="38">
        <f t="shared" si="0"/>
        <v>22.222222222222221</v>
      </c>
      <c r="R30" s="38">
        <f t="shared" si="1"/>
        <v>22.222222222222221</v>
      </c>
      <c r="S30" s="39" t="b">
        <f t="shared" si="2"/>
        <v>1</v>
      </c>
      <c r="T30" s="39" t="b">
        <f t="shared" si="2"/>
        <v>1</v>
      </c>
    </row>
    <row r="31" spans="1:20" s="40" customFormat="1" ht="25.05" customHeight="1">
      <c r="A31" s="31">
        <v>26</v>
      </c>
      <c r="B31" s="32" t="s">
        <v>72</v>
      </c>
      <c r="C31" s="31">
        <v>6</v>
      </c>
      <c r="D31" s="35">
        <v>5</v>
      </c>
      <c r="E31" s="31">
        <v>1</v>
      </c>
      <c r="F31" s="31">
        <v>1</v>
      </c>
      <c r="G31" s="31">
        <v>0</v>
      </c>
      <c r="H31" s="31">
        <v>3</v>
      </c>
      <c r="I31" s="35">
        <v>1</v>
      </c>
      <c r="J31" s="31">
        <v>0</v>
      </c>
      <c r="K31" s="31">
        <v>0</v>
      </c>
      <c r="L31" s="31">
        <v>1</v>
      </c>
      <c r="M31" s="31">
        <v>2</v>
      </c>
      <c r="N31" s="31">
        <v>4</v>
      </c>
      <c r="O31" s="37">
        <v>20</v>
      </c>
      <c r="P31" s="37">
        <v>33.333333333333336</v>
      </c>
      <c r="Q31" s="38">
        <f t="shared" si="0"/>
        <v>20</v>
      </c>
      <c r="R31" s="38">
        <f t="shared" si="1"/>
        <v>33.333333333333336</v>
      </c>
      <c r="S31" s="39" t="b">
        <f t="shared" si="2"/>
        <v>1</v>
      </c>
      <c r="T31" s="39" t="b">
        <f t="shared" si="2"/>
        <v>1</v>
      </c>
    </row>
    <row r="32" spans="1:20" s="44" customFormat="1" ht="30" customHeight="1">
      <c r="A32" s="31">
        <v>27</v>
      </c>
      <c r="B32" s="32" t="s">
        <v>66</v>
      </c>
      <c r="C32" s="31">
        <v>9</v>
      </c>
      <c r="D32" s="35">
        <v>6</v>
      </c>
      <c r="E32" s="31">
        <v>1</v>
      </c>
      <c r="F32" s="31">
        <v>0</v>
      </c>
      <c r="G32" s="31">
        <v>0</v>
      </c>
      <c r="H32" s="31">
        <v>5</v>
      </c>
      <c r="I32" s="35">
        <v>3</v>
      </c>
      <c r="J32" s="31">
        <v>0</v>
      </c>
      <c r="K32" s="31">
        <v>0</v>
      </c>
      <c r="L32" s="31">
        <v>3</v>
      </c>
      <c r="M32" s="31">
        <v>1</v>
      </c>
      <c r="N32" s="31">
        <v>8</v>
      </c>
      <c r="O32" s="37">
        <v>16.666666666666668</v>
      </c>
      <c r="P32" s="37">
        <v>11.111111111111111</v>
      </c>
      <c r="Q32" s="38">
        <f t="shared" si="0"/>
        <v>16.666666666666668</v>
      </c>
      <c r="R32" s="38">
        <f t="shared" si="1"/>
        <v>11.111111111111111</v>
      </c>
      <c r="S32" s="39" t="b">
        <f t="shared" si="2"/>
        <v>1</v>
      </c>
      <c r="T32" s="39" t="b">
        <f t="shared" si="2"/>
        <v>1</v>
      </c>
    </row>
    <row r="33" spans="1:20" s="40" customFormat="1" ht="25.05" customHeight="1">
      <c r="A33" s="31">
        <v>28</v>
      </c>
      <c r="B33" s="32" t="s">
        <v>59</v>
      </c>
      <c r="C33" s="31">
        <v>12</v>
      </c>
      <c r="D33" s="35">
        <v>7</v>
      </c>
      <c r="E33" s="31">
        <v>1</v>
      </c>
      <c r="F33" s="31">
        <v>2</v>
      </c>
      <c r="G33" s="31">
        <v>0</v>
      </c>
      <c r="H33" s="31">
        <v>4</v>
      </c>
      <c r="I33" s="35">
        <v>5</v>
      </c>
      <c r="J33" s="31">
        <v>0</v>
      </c>
      <c r="K33" s="31">
        <v>0</v>
      </c>
      <c r="L33" s="31">
        <v>5</v>
      </c>
      <c r="M33" s="31">
        <v>3</v>
      </c>
      <c r="N33" s="31">
        <v>9</v>
      </c>
      <c r="O33" s="37">
        <v>14.285714285714286</v>
      </c>
      <c r="P33" s="37">
        <v>25</v>
      </c>
      <c r="Q33" s="38">
        <f t="shared" si="0"/>
        <v>14.285714285714286</v>
      </c>
      <c r="R33" s="38">
        <f t="shared" si="1"/>
        <v>25</v>
      </c>
      <c r="S33" s="39" t="b">
        <f t="shared" si="2"/>
        <v>1</v>
      </c>
      <c r="T33" s="39" t="b">
        <f t="shared" si="2"/>
        <v>1</v>
      </c>
    </row>
    <row r="34" spans="1:20" s="40" customFormat="1" ht="34.950000000000003" customHeight="1">
      <c r="A34" s="31">
        <v>29</v>
      </c>
      <c r="B34" s="32" t="s">
        <v>67</v>
      </c>
      <c r="C34" s="31">
        <v>1</v>
      </c>
      <c r="D34" s="35">
        <v>1</v>
      </c>
      <c r="E34" s="31">
        <v>0</v>
      </c>
      <c r="F34" s="31">
        <v>1</v>
      </c>
      <c r="G34" s="31">
        <v>0</v>
      </c>
      <c r="H34" s="31">
        <v>0</v>
      </c>
      <c r="I34" s="35">
        <v>0</v>
      </c>
      <c r="J34" s="31">
        <v>0</v>
      </c>
      <c r="K34" s="31">
        <v>0</v>
      </c>
      <c r="L34" s="31">
        <v>0</v>
      </c>
      <c r="M34" s="31">
        <v>1</v>
      </c>
      <c r="N34" s="31">
        <v>0</v>
      </c>
      <c r="O34" s="45">
        <v>0</v>
      </c>
      <c r="P34" s="37">
        <v>100</v>
      </c>
      <c r="Q34" s="38">
        <f t="shared" si="0"/>
        <v>0</v>
      </c>
      <c r="R34" s="38">
        <f t="shared" si="1"/>
        <v>100</v>
      </c>
      <c r="S34" s="39" t="b">
        <f t="shared" si="2"/>
        <v>1</v>
      </c>
      <c r="T34" s="39" t="b">
        <f t="shared" si="2"/>
        <v>1</v>
      </c>
    </row>
    <row r="35" spans="1:20" s="40" customFormat="1" ht="25.05" customHeight="1">
      <c r="A35" s="31">
        <v>30</v>
      </c>
      <c r="B35" s="32" t="s">
        <v>74</v>
      </c>
      <c r="C35" s="31">
        <v>0</v>
      </c>
      <c r="D35" s="35">
        <v>0</v>
      </c>
      <c r="E35" s="31">
        <v>0</v>
      </c>
      <c r="F35" s="31">
        <v>0</v>
      </c>
      <c r="G35" s="31">
        <v>0</v>
      </c>
      <c r="H35" s="31">
        <v>0</v>
      </c>
      <c r="I35" s="35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7">
        <v>0</v>
      </c>
      <c r="P35" s="37">
        <v>0</v>
      </c>
      <c r="Q35" s="38">
        <f t="shared" si="0"/>
        <v>0</v>
      </c>
      <c r="R35" s="38">
        <f t="shared" si="1"/>
        <v>0</v>
      </c>
      <c r="S35" s="39" t="b">
        <f t="shared" si="2"/>
        <v>1</v>
      </c>
      <c r="T35" s="39" t="b">
        <f t="shared" si="2"/>
        <v>1</v>
      </c>
    </row>
    <row r="36" spans="1:20" s="40" customFormat="1" ht="25.05" customHeight="1">
      <c r="A36" s="31">
        <v>31</v>
      </c>
      <c r="B36" s="32" t="s">
        <v>53</v>
      </c>
      <c r="C36" s="31">
        <v>0</v>
      </c>
      <c r="D36" s="35">
        <v>0</v>
      </c>
      <c r="E36" s="31">
        <v>0</v>
      </c>
      <c r="F36" s="31">
        <v>0</v>
      </c>
      <c r="G36" s="31">
        <v>0</v>
      </c>
      <c r="H36" s="31">
        <v>0</v>
      </c>
      <c r="I36" s="35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7">
        <v>0</v>
      </c>
      <c r="P36" s="37">
        <v>0</v>
      </c>
      <c r="Q36" s="38">
        <f t="shared" si="0"/>
        <v>0</v>
      </c>
      <c r="R36" s="38">
        <f t="shared" si="1"/>
        <v>0</v>
      </c>
      <c r="S36" s="39" t="b">
        <f t="shared" si="2"/>
        <v>1</v>
      </c>
      <c r="T36" s="39" t="b">
        <f t="shared" si="2"/>
        <v>1</v>
      </c>
    </row>
    <row r="37" spans="1:20" s="40" customFormat="1" ht="25.05" customHeight="1">
      <c r="A37" s="31">
        <v>32</v>
      </c>
      <c r="B37" s="32" t="s">
        <v>45</v>
      </c>
      <c r="C37" s="33">
        <v>0</v>
      </c>
      <c r="D37" s="34">
        <v>0</v>
      </c>
      <c r="E37" s="33">
        <v>0</v>
      </c>
      <c r="F37" s="33">
        <v>0</v>
      </c>
      <c r="G37" s="33">
        <v>0</v>
      </c>
      <c r="H37" s="31">
        <v>0</v>
      </c>
      <c r="I37" s="35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7">
        <v>0</v>
      </c>
      <c r="P37" s="37">
        <v>0</v>
      </c>
      <c r="Q37" s="38">
        <f t="shared" si="0"/>
        <v>0</v>
      </c>
      <c r="R37" s="38">
        <f t="shared" si="1"/>
        <v>0</v>
      </c>
      <c r="S37" s="39" t="b">
        <f t="shared" si="2"/>
        <v>1</v>
      </c>
      <c r="T37" s="39" t="b">
        <f t="shared" si="2"/>
        <v>1</v>
      </c>
    </row>
    <row r="38" spans="1:20" s="40" customFormat="1" ht="25.05" customHeight="1">
      <c r="A38" s="31">
        <v>33</v>
      </c>
      <c r="B38" s="32" t="s">
        <v>41</v>
      </c>
      <c r="C38" s="33">
        <v>0</v>
      </c>
      <c r="D38" s="34">
        <v>0</v>
      </c>
      <c r="E38" s="33">
        <v>0</v>
      </c>
      <c r="F38" s="33">
        <v>0</v>
      </c>
      <c r="G38" s="33">
        <v>0</v>
      </c>
      <c r="H38" s="31">
        <v>0</v>
      </c>
      <c r="I38" s="35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7">
        <v>0</v>
      </c>
      <c r="P38" s="37">
        <v>0</v>
      </c>
      <c r="Q38" s="38">
        <f t="shared" si="0"/>
        <v>0</v>
      </c>
      <c r="R38" s="38">
        <f t="shared" si="1"/>
        <v>0</v>
      </c>
      <c r="S38" s="39" t="b">
        <f t="shared" si="2"/>
        <v>1</v>
      </c>
      <c r="T38" s="39" t="b">
        <f t="shared" si="2"/>
        <v>1</v>
      </c>
    </row>
    <row r="39" spans="1:20" s="40" customFormat="1" ht="25.05" customHeight="1">
      <c r="A39" s="31">
        <v>34</v>
      </c>
      <c r="B39" s="41" t="s">
        <v>65</v>
      </c>
      <c r="C39" s="42">
        <v>0</v>
      </c>
      <c r="D39" s="35">
        <v>0</v>
      </c>
      <c r="E39" s="42">
        <v>0</v>
      </c>
      <c r="F39" s="42">
        <v>0</v>
      </c>
      <c r="G39" s="42">
        <v>0</v>
      </c>
      <c r="H39" s="42">
        <v>0</v>
      </c>
      <c r="I39" s="35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3">
        <v>0</v>
      </c>
      <c r="P39" s="37">
        <v>0</v>
      </c>
      <c r="Q39" s="38">
        <f t="shared" si="0"/>
        <v>0</v>
      </c>
      <c r="R39" s="38">
        <f t="shared" si="1"/>
        <v>0</v>
      </c>
      <c r="S39" s="39" t="b">
        <f t="shared" si="2"/>
        <v>1</v>
      </c>
      <c r="T39" s="39" t="b">
        <f t="shared" si="2"/>
        <v>1</v>
      </c>
    </row>
    <row r="40" spans="1:20" s="40" customFormat="1" ht="25.05" customHeight="1">
      <c r="A40" s="46" t="s">
        <v>75</v>
      </c>
      <c r="B40" s="46"/>
      <c r="C40" s="47">
        <f>SUM(C6:C39)</f>
        <v>153</v>
      </c>
      <c r="D40" s="48">
        <f t="shared" ref="D40:N40" si="3">SUM(D6:D39)</f>
        <v>101</v>
      </c>
      <c r="E40" s="47">
        <f t="shared" si="3"/>
        <v>51</v>
      </c>
      <c r="F40" s="47">
        <f t="shared" si="3"/>
        <v>8</v>
      </c>
      <c r="G40" s="47">
        <f t="shared" si="3"/>
        <v>0</v>
      </c>
      <c r="H40" s="47">
        <f t="shared" si="3"/>
        <v>42</v>
      </c>
      <c r="I40" s="48">
        <f t="shared" si="3"/>
        <v>52</v>
      </c>
      <c r="J40" s="47">
        <f t="shared" si="3"/>
        <v>9</v>
      </c>
      <c r="K40" s="47">
        <f t="shared" si="3"/>
        <v>0</v>
      </c>
      <c r="L40" s="47">
        <f t="shared" si="3"/>
        <v>43</v>
      </c>
      <c r="M40" s="47">
        <f t="shared" si="3"/>
        <v>68</v>
      </c>
      <c r="N40" s="47">
        <f t="shared" si="3"/>
        <v>85</v>
      </c>
      <c r="O40" s="49">
        <f>IFERROR((E40+J40)*100/(D40+J40),0)</f>
        <v>54.545454545454547</v>
      </c>
      <c r="P40" s="49">
        <f>IFERROR(M40*100/C40,0)</f>
        <v>44.444444444444443</v>
      </c>
      <c r="Q40" s="38">
        <f>IFERROR((E40+J40)*100/(D40+J40),0)</f>
        <v>54.545454545454547</v>
      </c>
      <c r="R40" s="38">
        <f>IFERROR(M40*100/C40,0)</f>
        <v>44.444444444444443</v>
      </c>
      <c r="S40" s="39" t="b">
        <f>O40=Q40</f>
        <v>1</v>
      </c>
      <c r="T40" s="39" t="b">
        <f>P40=R40</f>
        <v>1</v>
      </c>
    </row>
    <row r="42" spans="1:20">
      <c r="G42" s="51" t="s">
        <v>85</v>
      </c>
    </row>
  </sheetData>
  <mergeCells count="11">
    <mergeCell ref="A40:B40"/>
    <mergeCell ref="A1:P1"/>
    <mergeCell ref="A2:A3"/>
    <mergeCell ref="B2:B3"/>
    <mergeCell ref="C2:C3"/>
    <mergeCell ref="D2:H2"/>
    <mergeCell ref="I2:L2"/>
    <mergeCell ref="M2:M3"/>
    <mergeCell ref="N2:N3"/>
    <mergeCell ref="O2:O3"/>
    <mergeCell ref="P2:P3"/>
  </mergeCells>
  <conditionalFormatting sqref="S6:T40">
    <cfRule type="containsText" dxfId="0" priority="1" operator="containsText" text="FALSE">
      <formula>NOT(ISERROR(SEARCH("FALSE",S6)))</formula>
    </cfRule>
  </conditionalFormatting>
  <printOptions horizontalCentered="1"/>
  <pageMargins left="0.55118110236220474" right="0.55118110236220474" top="0.98425196850393704" bottom="0.98425196850393704" header="0.51181102362204722" footer="0.51181102362204722"/>
  <pageSetup paperSize="5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EFAA-AEEA-43F6-ABBD-A308A2F3D88D}">
  <sheetPr codeName="Sheet60">
    <tabColor theme="4" tint="0.59999389629810485"/>
  </sheetPr>
  <dimension ref="A1:N37"/>
  <sheetViews>
    <sheetView topLeftCell="A28" workbookViewId="0">
      <selection activeCell="T35" sqref="T35"/>
    </sheetView>
  </sheetViews>
  <sheetFormatPr defaultRowHeight="14.4"/>
  <cols>
    <col min="1" max="1" width="5" bestFit="1" customWidth="1"/>
    <col min="2" max="2" width="21.6640625" customWidth="1"/>
    <col min="3" max="7" width="6.77734375" style="68" customWidth="1"/>
    <col min="8" max="12" width="7.77734375" style="68" customWidth="1"/>
    <col min="13" max="13" width="6.77734375" style="68" customWidth="1"/>
    <col min="14" max="14" width="6.77734375" style="69" customWidth="1"/>
  </cols>
  <sheetData>
    <row r="1" spans="1:14" ht="18">
      <c r="A1" s="53" t="str">
        <f ca="1">"Chittoor District - PS wise CCTNS Application Usage Statistics From 01-01-2010 to "&amp;TEXT(TODAY()-1,"dd-mm-yyyy")</f>
        <v>Chittoor District - PS wise CCTNS Application Usage Statistics From 01-01-2010 to 02-06-2026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</row>
    <row r="2" spans="1:14" ht="46.8">
      <c r="A2" s="54" t="s">
        <v>86</v>
      </c>
      <c r="B2" s="54" t="s">
        <v>87</v>
      </c>
      <c r="C2" s="55" t="s">
        <v>88</v>
      </c>
      <c r="D2" s="55" t="s">
        <v>89</v>
      </c>
      <c r="E2" s="55" t="s">
        <v>90</v>
      </c>
      <c r="F2" s="55" t="s">
        <v>91</v>
      </c>
      <c r="G2" s="55" t="s">
        <v>92</v>
      </c>
      <c r="H2" s="55" t="s">
        <v>93</v>
      </c>
      <c r="I2" s="55" t="s">
        <v>94</v>
      </c>
      <c r="J2" s="55" t="s">
        <v>95</v>
      </c>
      <c r="K2" s="55" t="s">
        <v>96</v>
      </c>
      <c r="L2" s="55" t="s">
        <v>97</v>
      </c>
      <c r="M2" s="55" t="s">
        <v>98</v>
      </c>
      <c r="N2" s="56" t="s">
        <v>99</v>
      </c>
    </row>
    <row r="3" spans="1:14" s="3" customFormat="1" ht="30" customHeight="1">
      <c r="A3" s="57">
        <v>1</v>
      </c>
      <c r="B3" s="58" t="s">
        <v>41</v>
      </c>
      <c r="C3" s="59">
        <v>760</v>
      </c>
      <c r="D3" s="59">
        <v>727</v>
      </c>
      <c r="E3" s="59">
        <v>335</v>
      </c>
      <c r="F3" s="59">
        <v>1</v>
      </c>
      <c r="G3" s="59">
        <v>3260</v>
      </c>
      <c r="H3" s="59">
        <v>5087</v>
      </c>
      <c r="I3" s="59">
        <v>746</v>
      </c>
      <c r="J3" s="59">
        <v>51</v>
      </c>
      <c r="K3" s="59">
        <v>375</v>
      </c>
      <c r="L3" s="59">
        <v>0</v>
      </c>
      <c r="M3" s="59">
        <v>1671</v>
      </c>
      <c r="N3" s="60">
        <v>16.122368421052631</v>
      </c>
    </row>
    <row r="4" spans="1:14" s="3" customFormat="1" ht="30" customHeight="1">
      <c r="A4" s="57">
        <v>2</v>
      </c>
      <c r="B4" s="58" t="s">
        <v>58</v>
      </c>
      <c r="C4" s="59">
        <v>2332</v>
      </c>
      <c r="D4" s="59">
        <v>2390</v>
      </c>
      <c r="E4" s="59">
        <v>2282</v>
      </c>
      <c r="F4" s="59">
        <v>181</v>
      </c>
      <c r="G4" s="59">
        <v>8428</v>
      </c>
      <c r="H4" s="59">
        <v>12393</v>
      </c>
      <c r="I4" s="59">
        <v>1876</v>
      </c>
      <c r="J4" s="59">
        <v>555</v>
      </c>
      <c r="K4" s="59">
        <v>1349</v>
      </c>
      <c r="L4" s="59">
        <v>89</v>
      </c>
      <c r="M4" s="59">
        <v>3510</v>
      </c>
      <c r="N4" s="60">
        <v>14.173670668953688</v>
      </c>
    </row>
    <row r="5" spans="1:14" s="3" customFormat="1" ht="30" customHeight="1">
      <c r="A5" s="57">
        <v>3</v>
      </c>
      <c r="B5" s="58" t="s">
        <v>45</v>
      </c>
      <c r="C5" s="59">
        <v>1216</v>
      </c>
      <c r="D5" s="59">
        <v>1146</v>
      </c>
      <c r="E5" s="59">
        <v>1083</v>
      </c>
      <c r="F5" s="59">
        <v>91</v>
      </c>
      <c r="G5" s="59">
        <v>4479</v>
      </c>
      <c r="H5" s="59">
        <v>7024</v>
      </c>
      <c r="I5" s="59">
        <v>959</v>
      </c>
      <c r="J5" s="59">
        <v>320</v>
      </c>
      <c r="K5" s="59">
        <v>745</v>
      </c>
      <c r="L5" s="59">
        <v>113</v>
      </c>
      <c r="M5" s="59">
        <v>1114</v>
      </c>
      <c r="N5" s="60">
        <v>14.041118421052632</v>
      </c>
    </row>
    <row r="6" spans="1:14" s="3" customFormat="1" ht="30" customHeight="1">
      <c r="A6" s="57">
        <v>4</v>
      </c>
      <c r="B6" s="58" t="s">
        <v>63</v>
      </c>
      <c r="C6" s="59">
        <v>1992</v>
      </c>
      <c r="D6" s="59">
        <v>1799</v>
      </c>
      <c r="E6" s="59">
        <v>1783</v>
      </c>
      <c r="F6" s="59">
        <v>104</v>
      </c>
      <c r="G6" s="59">
        <v>6913</v>
      </c>
      <c r="H6" s="59">
        <v>11914</v>
      </c>
      <c r="I6" s="59">
        <v>1558</v>
      </c>
      <c r="J6" s="59">
        <v>467</v>
      </c>
      <c r="K6" s="59">
        <v>1288</v>
      </c>
      <c r="L6" s="59">
        <v>85</v>
      </c>
      <c r="M6" s="59">
        <v>1978</v>
      </c>
      <c r="N6" s="60">
        <v>14.000502008032129</v>
      </c>
    </row>
    <row r="7" spans="1:14" s="3" customFormat="1" ht="30" customHeight="1">
      <c r="A7" s="57">
        <v>5</v>
      </c>
      <c r="B7" s="58" t="s">
        <v>51</v>
      </c>
      <c r="C7" s="59">
        <v>2757</v>
      </c>
      <c r="D7" s="59">
        <v>2119</v>
      </c>
      <c r="E7" s="59">
        <v>3023</v>
      </c>
      <c r="F7" s="59">
        <v>135</v>
      </c>
      <c r="G7" s="59">
        <v>11339</v>
      </c>
      <c r="H7" s="59">
        <v>13182</v>
      </c>
      <c r="I7" s="59">
        <v>2130</v>
      </c>
      <c r="J7" s="59">
        <v>705</v>
      </c>
      <c r="K7" s="59">
        <v>1469</v>
      </c>
      <c r="L7" s="59">
        <v>123</v>
      </c>
      <c r="M7" s="59">
        <v>2243</v>
      </c>
      <c r="N7" s="60">
        <v>13.227421109902068</v>
      </c>
    </row>
    <row r="8" spans="1:14" s="3" customFormat="1" ht="30" customHeight="1">
      <c r="A8" s="57">
        <v>6</v>
      </c>
      <c r="B8" s="58" t="s">
        <v>60</v>
      </c>
      <c r="C8" s="59">
        <v>3070</v>
      </c>
      <c r="D8" s="59">
        <v>2630</v>
      </c>
      <c r="E8" s="59">
        <v>2729</v>
      </c>
      <c r="F8" s="59">
        <v>297</v>
      </c>
      <c r="G8" s="59">
        <v>11480</v>
      </c>
      <c r="H8" s="59">
        <v>15408</v>
      </c>
      <c r="I8" s="59">
        <v>2387</v>
      </c>
      <c r="J8" s="59">
        <v>778</v>
      </c>
      <c r="K8" s="59">
        <v>1932</v>
      </c>
      <c r="L8" s="59">
        <v>100</v>
      </c>
      <c r="M8" s="59">
        <v>2376</v>
      </c>
      <c r="N8" s="61">
        <v>13.06742671009772</v>
      </c>
    </row>
    <row r="9" spans="1:14" s="3" customFormat="1" ht="30" customHeight="1">
      <c r="A9" s="57">
        <v>7</v>
      </c>
      <c r="B9" s="58" t="s">
        <v>52</v>
      </c>
      <c r="C9" s="59">
        <v>1773</v>
      </c>
      <c r="D9" s="59">
        <v>1634</v>
      </c>
      <c r="E9" s="59">
        <v>2137</v>
      </c>
      <c r="F9" s="59">
        <v>188</v>
      </c>
      <c r="G9" s="59">
        <v>5279</v>
      </c>
      <c r="H9" s="59">
        <v>8893</v>
      </c>
      <c r="I9" s="59">
        <v>1436</v>
      </c>
      <c r="J9" s="59">
        <v>396</v>
      </c>
      <c r="K9" s="59">
        <v>1132</v>
      </c>
      <c r="L9" s="59">
        <v>43</v>
      </c>
      <c r="M9" s="59">
        <v>1700</v>
      </c>
      <c r="N9" s="61">
        <v>12.880992667794699</v>
      </c>
    </row>
    <row r="10" spans="1:14" s="3" customFormat="1" ht="30" customHeight="1">
      <c r="A10" s="57">
        <v>8</v>
      </c>
      <c r="B10" s="58" t="s">
        <v>56</v>
      </c>
      <c r="C10" s="59">
        <v>2222</v>
      </c>
      <c r="D10" s="59">
        <v>1748</v>
      </c>
      <c r="E10" s="59">
        <v>2010</v>
      </c>
      <c r="F10" s="59">
        <v>170</v>
      </c>
      <c r="G10" s="59">
        <v>8171</v>
      </c>
      <c r="H10" s="59">
        <v>10525</v>
      </c>
      <c r="I10" s="59">
        <v>1700</v>
      </c>
      <c r="J10" s="59">
        <v>601</v>
      </c>
      <c r="K10" s="59">
        <v>1204</v>
      </c>
      <c r="L10" s="59">
        <v>68</v>
      </c>
      <c r="M10" s="59">
        <v>2337</v>
      </c>
      <c r="N10" s="61">
        <v>12.841584158415841</v>
      </c>
    </row>
    <row r="11" spans="1:14" s="3" customFormat="1" ht="30" customHeight="1">
      <c r="A11" s="57">
        <v>9</v>
      </c>
      <c r="B11" s="58" t="s">
        <v>46</v>
      </c>
      <c r="C11" s="59">
        <v>1960</v>
      </c>
      <c r="D11" s="59">
        <v>1547</v>
      </c>
      <c r="E11" s="59">
        <v>1908</v>
      </c>
      <c r="F11" s="59">
        <v>56</v>
      </c>
      <c r="G11" s="59">
        <v>6627</v>
      </c>
      <c r="H11" s="59">
        <v>9300</v>
      </c>
      <c r="I11" s="59">
        <v>1596</v>
      </c>
      <c r="J11" s="59">
        <v>411</v>
      </c>
      <c r="K11" s="59">
        <v>1338</v>
      </c>
      <c r="L11" s="59">
        <v>167</v>
      </c>
      <c r="M11" s="59">
        <v>2081</v>
      </c>
      <c r="N11" s="61">
        <v>12.770918367346939</v>
      </c>
    </row>
    <row r="12" spans="1:14" s="3" customFormat="1" ht="30" customHeight="1">
      <c r="A12" s="57">
        <v>10</v>
      </c>
      <c r="B12" s="58" t="s">
        <v>64</v>
      </c>
      <c r="C12" s="59">
        <v>4162</v>
      </c>
      <c r="D12" s="59">
        <v>3552</v>
      </c>
      <c r="E12" s="59">
        <v>4018</v>
      </c>
      <c r="F12" s="59">
        <v>366</v>
      </c>
      <c r="G12" s="59">
        <v>14613</v>
      </c>
      <c r="H12" s="59">
        <v>20867</v>
      </c>
      <c r="I12" s="59">
        <v>3153</v>
      </c>
      <c r="J12" s="59">
        <v>1073</v>
      </c>
      <c r="K12" s="59">
        <v>2423</v>
      </c>
      <c r="L12" s="59">
        <v>227</v>
      </c>
      <c r="M12" s="59">
        <v>2841</v>
      </c>
      <c r="N12" s="61">
        <v>12.766218164344066</v>
      </c>
    </row>
    <row r="13" spans="1:14" s="3" customFormat="1" ht="30" customHeight="1">
      <c r="A13" s="57">
        <v>11</v>
      </c>
      <c r="B13" s="58" t="s">
        <v>70</v>
      </c>
      <c r="C13" s="59">
        <v>1900</v>
      </c>
      <c r="D13" s="59">
        <v>1650</v>
      </c>
      <c r="E13" s="59">
        <v>1093</v>
      </c>
      <c r="F13" s="59">
        <v>64</v>
      </c>
      <c r="G13" s="59">
        <v>6480</v>
      </c>
      <c r="H13" s="59">
        <v>10184</v>
      </c>
      <c r="I13" s="59">
        <v>1438</v>
      </c>
      <c r="J13" s="59">
        <v>498</v>
      </c>
      <c r="K13" s="59">
        <v>1029</v>
      </c>
      <c r="L13" s="59">
        <v>62</v>
      </c>
      <c r="M13" s="59">
        <v>1734</v>
      </c>
      <c r="N13" s="61">
        <v>12.753684210526316</v>
      </c>
    </row>
    <row r="14" spans="1:14" s="3" customFormat="1" ht="30" customHeight="1">
      <c r="A14" s="57">
        <v>12</v>
      </c>
      <c r="B14" s="58" t="s">
        <v>66</v>
      </c>
      <c r="C14" s="59">
        <v>4350</v>
      </c>
      <c r="D14" s="59">
        <v>3900</v>
      </c>
      <c r="E14" s="59">
        <v>2828</v>
      </c>
      <c r="F14" s="59">
        <v>389</v>
      </c>
      <c r="G14" s="59">
        <v>16297</v>
      </c>
      <c r="H14" s="59">
        <v>21554</v>
      </c>
      <c r="I14" s="59">
        <v>2976</v>
      </c>
      <c r="J14" s="59">
        <v>1390</v>
      </c>
      <c r="K14" s="59">
        <v>2258</v>
      </c>
      <c r="L14" s="59">
        <v>137</v>
      </c>
      <c r="M14" s="59">
        <v>3341</v>
      </c>
      <c r="N14" s="61">
        <v>12.659770114942528</v>
      </c>
    </row>
    <row r="15" spans="1:14" s="3" customFormat="1" ht="30" customHeight="1">
      <c r="A15" s="57">
        <v>13</v>
      </c>
      <c r="B15" s="58" t="s">
        <v>50</v>
      </c>
      <c r="C15" s="59">
        <v>2428</v>
      </c>
      <c r="D15" s="59">
        <v>2082</v>
      </c>
      <c r="E15" s="59">
        <v>2495</v>
      </c>
      <c r="F15" s="59">
        <v>202</v>
      </c>
      <c r="G15" s="59">
        <v>7508</v>
      </c>
      <c r="H15" s="59">
        <v>11754</v>
      </c>
      <c r="I15" s="59">
        <v>1817</v>
      </c>
      <c r="J15" s="59">
        <v>629</v>
      </c>
      <c r="K15" s="59">
        <v>1184</v>
      </c>
      <c r="L15" s="59">
        <v>76</v>
      </c>
      <c r="M15" s="59">
        <v>2626</v>
      </c>
      <c r="N15" s="61">
        <v>12.509472817133442</v>
      </c>
    </row>
    <row r="16" spans="1:14" s="3" customFormat="1" ht="30" customHeight="1">
      <c r="A16" s="57">
        <v>14</v>
      </c>
      <c r="B16" s="58" t="s">
        <v>69</v>
      </c>
      <c r="C16" s="59">
        <v>2481</v>
      </c>
      <c r="D16" s="59">
        <v>2085</v>
      </c>
      <c r="E16" s="59">
        <v>2231</v>
      </c>
      <c r="F16" s="59">
        <v>169</v>
      </c>
      <c r="G16" s="59">
        <v>8239</v>
      </c>
      <c r="H16" s="59">
        <v>12267</v>
      </c>
      <c r="I16" s="59">
        <v>1957</v>
      </c>
      <c r="J16" s="59">
        <v>581</v>
      </c>
      <c r="K16" s="59">
        <v>1622</v>
      </c>
      <c r="L16" s="59">
        <v>95</v>
      </c>
      <c r="M16" s="59">
        <v>1780</v>
      </c>
      <c r="N16" s="61">
        <v>12.505441354292625</v>
      </c>
    </row>
    <row r="17" spans="1:14" s="3" customFormat="1" ht="30" customHeight="1">
      <c r="A17" s="57">
        <v>15</v>
      </c>
      <c r="B17" s="58" t="s">
        <v>67</v>
      </c>
      <c r="C17" s="59">
        <v>2850</v>
      </c>
      <c r="D17" s="59">
        <v>2639</v>
      </c>
      <c r="E17" s="59">
        <v>2568</v>
      </c>
      <c r="F17" s="59">
        <v>110</v>
      </c>
      <c r="G17" s="59">
        <v>9319</v>
      </c>
      <c r="H17" s="59">
        <v>12685</v>
      </c>
      <c r="I17" s="59">
        <v>2225</v>
      </c>
      <c r="J17" s="59">
        <v>708</v>
      </c>
      <c r="K17" s="59">
        <v>1612</v>
      </c>
      <c r="L17" s="59">
        <v>176</v>
      </c>
      <c r="M17" s="59">
        <v>3090</v>
      </c>
      <c r="N17" s="61">
        <v>12.327017543859649</v>
      </c>
    </row>
    <row r="18" spans="1:14" s="3" customFormat="1" ht="30" customHeight="1">
      <c r="A18" s="57">
        <v>16</v>
      </c>
      <c r="B18" s="58" t="s">
        <v>53</v>
      </c>
      <c r="C18" s="59">
        <v>1576</v>
      </c>
      <c r="D18" s="59">
        <v>1185</v>
      </c>
      <c r="E18" s="59">
        <v>874</v>
      </c>
      <c r="F18" s="59">
        <v>1</v>
      </c>
      <c r="G18" s="59">
        <v>3897</v>
      </c>
      <c r="H18" s="59">
        <v>9463</v>
      </c>
      <c r="I18" s="59">
        <v>1569</v>
      </c>
      <c r="J18" s="59">
        <v>171</v>
      </c>
      <c r="K18" s="59">
        <v>1281</v>
      </c>
      <c r="L18" s="59">
        <v>0</v>
      </c>
      <c r="M18" s="59">
        <v>939</v>
      </c>
      <c r="N18" s="61">
        <v>12.296954314720812</v>
      </c>
    </row>
    <row r="19" spans="1:14" s="3" customFormat="1" ht="30" customHeight="1">
      <c r="A19" s="57">
        <v>17</v>
      </c>
      <c r="B19" s="58" t="s">
        <v>54</v>
      </c>
      <c r="C19" s="59">
        <v>2636</v>
      </c>
      <c r="D19" s="59">
        <v>2540</v>
      </c>
      <c r="E19" s="59">
        <v>989</v>
      </c>
      <c r="F19" s="59">
        <v>110</v>
      </c>
      <c r="G19" s="59">
        <v>8961</v>
      </c>
      <c r="H19" s="59">
        <v>12859</v>
      </c>
      <c r="I19" s="59">
        <v>2061</v>
      </c>
      <c r="J19" s="59">
        <v>635</v>
      </c>
      <c r="K19" s="59">
        <v>1216</v>
      </c>
      <c r="L19" s="59">
        <v>72</v>
      </c>
      <c r="M19" s="59">
        <v>2738</v>
      </c>
      <c r="N19" s="61">
        <v>12.208270106221548</v>
      </c>
    </row>
    <row r="20" spans="1:14" s="3" customFormat="1" ht="30" customHeight="1">
      <c r="A20" s="57">
        <v>18</v>
      </c>
      <c r="B20" s="58" t="s">
        <v>65</v>
      </c>
      <c r="C20" s="59">
        <v>1260</v>
      </c>
      <c r="D20" s="59">
        <v>1207</v>
      </c>
      <c r="E20" s="59">
        <v>887</v>
      </c>
      <c r="F20" s="59">
        <v>86</v>
      </c>
      <c r="G20" s="59">
        <v>3466</v>
      </c>
      <c r="H20" s="59">
        <v>6488</v>
      </c>
      <c r="I20" s="59">
        <v>967</v>
      </c>
      <c r="J20" s="59">
        <v>322</v>
      </c>
      <c r="K20" s="59">
        <v>705</v>
      </c>
      <c r="L20" s="59">
        <v>38</v>
      </c>
      <c r="M20" s="59">
        <v>1215</v>
      </c>
      <c r="N20" s="61">
        <v>12.207142857142857</v>
      </c>
    </row>
    <row r="21" spans="1:14" s="3" customFormat="1" ht="30" customHeight="1">
      <c r="A21" s="57">
        <v>19</v>
      </c>
      <c r="B21" s="58" t="s">
        <v>49</v>
      </c>
      <c r="C21" s="59">
        <v>4190</v>
      </c>
      <c r="D21" s="59">
        <v>3595</v>
      </c>
      <c r="E21" s="59">
        <v>3567</v>
      </c>
      <c r="F21" s="59">
        <v>195</v>
      </c>
      <c r="G21" s="59">
        <v>12833</v>
      </c>
      <c r="H21" s="59">
        <v>20353</v>
      </c>
      <c r="I21" s="59">
        <v>3143</v>
      </c>
      <c r="J21" s="59">
        <v>1158</v>
      </c>
      <c r="K21" s="59">
        <v>2408</v>
      </c>
      <c r="L21" s="59">
        <v>120</v>
      </c>
      <c r="M21" s="59">
        <v>3546</v>
      </c>
      <c r="N21" s="61">
        <v>12.152267303102626</v>
      </c>
    </row>
    <row r="22" spans="1:14" s="3" customFormat="1" ht="30" customHeight="1">
      <c r="A22" s="57">
        <v>20</v>
      </c>
      <c r="B22" s="58" t="s">
        <v>62</v>
      </c>
      <c r="C22" s="59">
        <v>4048</v>
      </c>
      <c r="D22" s="59">
        <v>3909</v>
      </c>
      <c r="E22" s="59">
        <v>2718</v>
      </c>
      <c r="F22" s="59">
        <v>275</v>
      </c>
      <c r="G22" s="59">
        <v>12972</v>
      </c>
      <c r="H22" s="59">
        <v>18906</v>
      </c>
      <c r="I22" s="59">
        <v>2730</v>
      </c>
      <c r="J22" s="59">
        <v>1362</v>
      </c>
      <c r="K22" s="59">
        <v>2187</v>
      </c>
      <c r="L22" s="59">
        <v>218</v>
      </c>
      <c r="M22" s="59">
        <v>3762</v>
      </c>
      <c r="N22" s="61">
        <v>12.114377470355731</v>
      </c>
    </row>
    <row r="23" spans="1:14" s="3" customFormat="1" ht="30" customHeight="1">
      <c r="A23" s="57">
        <v>21</v>
      </c>
      <c r="B23" s="58" t="s">
        <v>73</v>
      </c>
      <c r="C23" s="59">
        <v>1149</v>
      </c>
      <c r="D23" s="59">
        <v>1113</v>
      </c>
      <c r="E23" s="59">
        <v>1008</v>
      </c>
      <c r="F23" s="59">
        <v>69</v>
      </c>
      <c r="G23" s="59">
        <v>3647</v>
      </c>
      <c r="H23" s="59">
        <v>5346</v>
      </c>
      <c r="I23" s="59">
        <v>834</v>
      </c>
      <c r="J23" s="59">
        <v>323</v>
      </c>
      <c r="K23" s="59">
        <v>672</v>
      </c>
      <c r="L23" s="59">
        <v>34</v>
      </c>
      <c r="M23" s="59">
        <v>848</v>
      </c>
      <c r="N23" s="61">
        <v>12.092254134029591</v>
      </c>
    </row>
    <row r="24" spans="1:14" s="3" customFormat="1" ht="30" customHeight="1">
      <c r="A24" s="57">
        <v>22</v>
      </c>
      <c r="B24" s="58" t="s">
        <v>71</v>
      </c>
      <c r="C24" s="59">
        <v>3289</v>
      </c>
      <c r="D24" s="59">
        <v>3037</v>
      </c>
      <c r="E24" s="59">
        <v>2926</v>
      </c>
      <c r="F24" s="59">
        <v>235</v>
      </c>
      <c r="G24" s="59">
        <v>9021</v>
      </c>
      <c r="H24" s="59">
        <v>15978</v>
      </c>
      <c r="I24" s="59">
        <v>2508</v>
      </c>
      <c r="J24" s="59">
        <v>834</v>
      </c>
      <c r="K24" s="59">
        <v>1769</v>
      </c>
      <c r="L24" s="59">
        <v>73</v>
      </c>
      <c r="M24" s="59">
        <v>3235</v>
      </c>
      <c r="N24" s="61">
        <v>12.044998479781089</v>
      </c>
    </row>
    <row r="25" spans="1:14" s="3" customFormat="1" ht="30" customHeight="1">
      <c r="A25" s="57">
        <v>23</v>
      </c>
      <c r="B25" s="58" t="s">
        <v>42</v>
      </c>
      <c r="C25" s="59">
        <v>1800</v>
      </c>
      <c r="D25" s="59">
        <v>1421</v>
      </c>
      <c r="E25" s="59">
        <v>933</v>
      </c>
      <c r="F25" s="59">
        <v>114</v>
      </c>
      <c r="G25" s="59">
        <v>6070</v>
      </c>
      <c r="H25" s="59">
        <v>8734</v>
      </c>
      <c r="I25" s="59">
        <v>1384</v>
      </c>
      <c r="J25" s="59">
        <v>474</v>
      </c>
      <c r="K25" s="59">
        <v>788</v>
      </c>
      <c r="L25" s="59">
        <v>97</v>
      </c>
      <c r="M25" s="59">
        <v>1612</v>
      </c>
      <c r="N25" s="61">
        <v>12.015000000000001</v>
      </c>
    </row>
    <row r="26" spans="1:14" s="3" customFormat="1" ht="30" customHeight="1">
      <c r="A26" s="57">
        <v>24</v>
      </c>
      <c r="B26" s="58" t="s">
        <v>59</v>
      </c>
      <c r="C26" s="59">
        <v>3676</v>
      </c>
      <c r="D26" s="59">
        <v>3308</v>
      </c>
      <c r="E26" s="59">
        <v>2976</v>
      </c>
      <c r="F26" s="59">
        <v>212</v>
      </c>
      <c r="G26" s="59">
        <v>10628</v>
      </c>
      <c r="H26" s="59">
        <v>17824</v>
      </c>
      <c r="I26" s="59">
        <v>2624</v>
      </c>
      <c r="J26" s="59">
        <v>1079</v>
      </c>
      <c r="K26" s="59">
        <v>1553</v>
      </c>
      <c r="L26" s="59">
        <v>104</v>
      </c>
      <c r="M26" s="59">
        <v>3299</v>
      </c>
      <c r="N26" s="61">
        <v>11.862622415669206</v>
      </c>
    </row>
    <row r="27" spans="1:14" s="3" customFormat="1" ht="30" customHeight="1">
      <c r="A27" s="57">
        <v>25</v>
      </c>
      <c r="B27" s="58" t="s">
        <v>48</v>
      </c>
      <c r="C27" s="59">
        <v>2585</v>
      </c>
      <c r="D27" s="59">
        <v>1695</v>
      </c>
      <c r="E27" s="59">
        <v>2172</v>
      </c>
      <c r="F27" s="59">
        <v>149</v>
      </c>
      <c r="G27" s="59">
        <v>7874</v>
      </c>
      <c r="H27" s="59">
        <v>11846</v>
      </c>
      <c r="I27" s="59">
        <v>1854</v>
      </c>
      <c r="J27" s="59">
        <v>848</v>
      </c>
      <c r="K27" s="59">
        <v>1170</v>
      </c>
      <c r="L27" s="59">
        <v>150</v>
      </c>
      <c r="M27" s="59">
        <v>2898</v>
      </c>
      <c r="N27" s="61">
        <v>11.859187620889749</v>
      </c>
    </row>
    <row r="28" spans="1:14" s="3" customFormat="1" ht="30" customHeight="1">
      <c r="A28" s="57">
        <v>26</v>
      </c>
      <c r="B28" s="58" t="s">
        <v>44</v>
      </c>
      <c r="C28" s="59">
        <v>2649</v>
      </c>
      <c r="D28" s="59">
        <v>2157</v>
      </c>
      <c r="E28" s="59">
        <v>2845</v>
      </c>
      <c r="F28" s="59">
        <v>185</v>
      </c>
      <c r="G28" s="59">
        <v>6420</v>
      </c>
      <c r="H28" s="59">
        <v>12552</v>
      </c>
      <c r="I28" s="59">
        <v>2004</v>
      </c>
      <c r="J28" s="59">
        <v>709</v>
      </c>
      <c r="K28" s="59">
        <v>1517</v>
      </c>
      <c r="L28" s="59">
        <v>103</v>
      </c>
      <c r="M28" s="59">
        <v>2664</v>
      </c>
      <c r="N28" s="61">
        <v>11.761419403548508</v>
      </c>
    </row>
    <row r="29" spans="1:14" s="3" customFormat="1" ht="30" customHeight="1">
      <c r="A29" s="57">
        <v>27</v>
      </c>
      <c r="B29" s="58" t="s">
        <v>43</v>
      </c>
      <c r="C29" s="59">
        <v>5332</v>
      </c>
      <c r="D29" s="59">
        <v>3881</v>
      </c>
      <c r="E29" s="59">
        <v>4921</v>
      </c>
      <c r="F29" s="59">
        <v>612</v>
      </c>
      <c r="G29" s="59">
        <v>14642</v>
      </c>
      <c r="H29" s="59">
        <v>25208</v>
      </c>
      <c r="I29" s="59">
        <v>4047</v>
      </c>
      <c r="J29" s="59">
        <v>1459</v>
      </c>
      <c r="K29" s="59">
        <v>3221</v>
      </c>
      <c r="L29" s="59">
        <v>249</v>
      </c>
      <c r="M29" s="59">
        <v>3856</v>
      </c>
      <c r="N29" s="61">
        <v>11.645911477869467</v>
      </c>
    </row>
    <row r="30" spans="1:14" s="3" customFormat="1" ht="30" customHeight="1">
      <c r="A30" s="57">
        <v>28</v>
      </c>
      <c r="B30" s="58" t="s">
        <v>68</v>
      </c>
      <c r="C30" s="59">
        <v>2160</v>
      </c>
      <c r="D30" s="59">
        <v>1487</v>
      </c>
      <c r="E30" s="59">
        <v>1469</v>
      </c>
      <c r="F30" s="59">
        <v>133</v>
      </c>
      <c r="G30" s="59">
        <v>5991</v>
      </c>
      <c r="H30" s="59">
        <v>9686</v>
      </c>
      <c r="I30" s="59">
        <v>1610</v>
      </c>
      <c r="J30" s="59">
        <v>529</v>
      </c>
      <c r="K30" s="59">
        <v>1242</v>
      </c>
      <c r="L30" s="59">
        <v>31</v>
      </c>
      <c r="M30" s="59">
        <v>2763</v>
      </c>
      <c r="N30" s="61">
        <v>11.546759259259259</v>
      </c>
    </row>
    <row r="31" spans="1:14" s="3" customFormat="1" ht="30" customHeight="1">
      <c r="A31" s="57">
        <v>29</v>
      </c>
      <c r="B31" s="58" t="s">
        <v>47</v>
      </c>
      <c r="C31" s="59">
        <v>3839</v>
      </c>
      <c r="D31" s="59">
        <v>3379</v>
      </c>
      <c r="E31" s="59">
        <v>2843</v>
      </c>
      <c r="F31" s="59">
        <v>268</v>
      </c>
      <c r="G31" s="59">
        <v>11375</v>
      </c>
      <c r="H31" s="59">
        <v>16743</v>
      </c>
      <c r="I31" s="59">
        <v>2621</v>
      </c>
      <c r="J31" s="59">
        <v>1124</v>
      </c>
      <c r="K31" s="59">
        <v>1744</v>
      </c>
      <c r="L31" s="59">
        <v>172</v>
      </c>
      <c r="M31" s="59">
        <v>2687</v>
      </c>
      <c r="N31" s="61">
        <v>11.189372232352175</v>
      </c>
    </row>
    <row r="32" spans="1:14" s="3" customFormat="1" ht="30" customHeight="1">
      <c r="A32" s="57">
        <v>30</v>
      </c>
      <c r="B32" s="58" t="s">
        <v>72</v>
      </c>
      <c r="C32" s="59">
        <v>1319</v>
      </c>
      <c r="D32" s="59">
        <v>936</v>
      </c>
      <c r="E32" s="59">
        <v>1399</v>
      </c>
      <c r="F32" s="59">
        <v>79</v>
      </c>
      <c r="G32" s="59">
        <v>3873</v>
      </c>
      <c r="H32" s="59">
        <v>5513</v>
      </c>
      <c r="I32" s="59">
        <v>917</v>
      </c>
      <c r="J32" s="59">
        <v>364</v>
      </c>
      <c r="K32" s="59">
        <v>743</v>
      </c>
      <c r="L32" s="59">
        <v>24</v>
      </c>
      <c r="M32" s="59">
        <v>825</v>
      </c>
      <c r="N32" s="62">
        <v>11.124336618650492</v>
      </c>
    </row>
    <row r="33" spans="1:14" s="3" customFormat="1" ht="30" customHeight="1">
      <c r="A33" s="57">
        <v>31</v>
      </c>
      <c r="B33" s="58" t="s">
        <v>55</v>
      </c>
      <c r="C33" s="59">
        <v>1638</v>
      </c>
      <c r="D33" s="59">
        <v>1275</v>
      </c>
      <c r="E33" s="59">
        <v>1441</v>
      </c>
      <c r="F33" s="59">
        <v>66</v>
      </c>
      <c r="G33" s="59">
        <v>3897</v>
      </c>
      <c r="H33" s="59">
        <v>6845</v>
      </c>
      <c r="I33" s="59">
        <v>1264</v>
      </c>
      <c r="J33" s="59">
        <v>428</v>
      </c>
      <c r="K33" s="59">
        <v>953</v>
      </c>
      <c r="L33" s="59">
        <v>52</v>
      </c>
      <c r="M33" s="59">
        <v>1850</v>
      </c>
      <c r="N33" s="62">
        <v>11.032356532356532</v>
      </c>
    </row>
    <row r="34" spans="1:14" s="3" customFormat="1" ht="30" customHeight="1">
      <c r="A34" s="57">
        <v>32</v>
      </c>
      <c r="B34" s="58" t="s">
        <v>57</v>
      </c>
      <c r="C34" s="59">
        <v>4758</v>
      </c>
      <c r="D34" s="59">
        <v>4873</v>
      </c>
      <c r="E34" s="59">
        <v>2523</v>
      </c>
      <c r="F34" s="59">
        <v>290</v>
      </c>
      <c r="G34" s="59">
        <v>13492</v>
      </c>
      <c r="H34" s="59">
        <v>19753</v>
      </c>
      <c r="I34" s="59">
        <v>3311</v>
      </c>
      <c r="J34" s="59">
        <v>1437</v>
      </c>
      <c r="K34" s="59">
        <v>2011</v>
      </c>
      <c r="L34" s="59">
        <v>176</v>
      </c>
      <c r="M34" s="59">
        <v>4356</v>
      </c>
      <c r="N34" s="62">
        <v>10.975620008406894</v>
      </c>
    </row>
    <row r="35" spans="1:14" s="3" customFormat="1" ht="30" customHeight="1">
      <c r="A35" s="57">
        <v>33</v>
      </c>
      <c r="B35" s="58" t="s">
        <v>61</v>
      </c>
      <c r="C35" s="59">
        <v>1365</v>
      </c>
      <c r="D35" s="59">
        <v>505</v>
      </c>
      <c r="E35" s="59">
        <v>1103</v>
      </c>
      <c r="F35" s="59">
        <v>101</v>
      </c>
      <c r="G35" s="59">
        <v>4071</v>
      </c>
      <c r="H35" s="59">
        <v>5920</v>
      </c>
      <c r="I35" s="59">
        <v>1119</v>
      </c>
      <c r="J35" s="59">
        <v>271</v>
      </c>
      <c r="K35" s="59">
        <v>787</v>
      </c>
      <c r="L35" s="59">
        <v>33</v>
      </c>
      <c r="M35" s="59">
        <v>1019</v>
      </c>
      <c r="N35" s="62">
        <v>10.936996336996337</v>
      </c>
    </row>
    <row r="36" spans="1:14" s="3" customFormat="1" ht="30" customHeight="1">
      <c r="A36" s="57">
        <v>34</v>
      </c>
      <c r="B36" s="58" t="s">
        <v>74</v>
      </c>
      <c r="C36" s="59">
        <v>1993</v>
      </c>
      <c r="D36" s="59">
        <v>576</v>
      </c>
      <c r="E36" s="59">
        <v>2485</v>
      </c>
      <c r="F36" s="59">
        <v>1112</v>
      </c>
      <c r="G36" s="59">
        <v>7647</v>
      </c>
      <c r="H36" s="59">
        <v>3937</v>
      </c>
      <c r="I36" s="59">
        <v>1287</v>
      </c>
      <c r="J36" s="59">
        <v>718</v>
      </c>
      <c r="K36" s="59">
        <v>1752</v>
      </c>
      <c r="L36" s="59">
        <v>220</v>
      </c>
      <c r="M36" s="59">
        <v>112</v>
      </c>
      <c r="N36" s="62">
        <v>9.9578524836929247</v>
      </c>
    </row>
    <row r="37" spans="1:14" s="3" customFormat="1" ht="30" customHeight="1">
      <c r="A37" s="63" t="s">
        <v>75</v>
      </c>
      <c r="B37" s="64"/>
      <c r="C37" s="65">
        <f>SUM($C$3:$C$36)</f>
        <v>87515</v>
      </c>
      <c r="D37" s="65">
        <f>SUM($D$3:$D$36)</f>
        <v>73727</v>
      </c>
      <c r="E37" s="65">
        <f>SUM($E$3:$E$36)</f>
        <v>72602</v>
      </c>
      <c r="F37" s="65">
        <f>SUM($F$3:$F$36)</f>
        <v>6815</v>
      </c>
      <c r="G37" s="66">
        <f>SUM($G$3:$G$36)</f>
        <v>279209</v>
      </c>
      <c r="H37" s="65">
        <f>SUM($H$3:$H$36)</f>
        <v>416991</v>
      </c>
      <c r="I37" s="65">
        <f>SUM($I$3:$I$36)</f>
        <v>65808</v>
      </c>
      <c r="J37" s="65">
        <f>SUM($J$3:$J$36)</f>
        <v>23408</v>
      </c>
      <c r="K37" s="65">
        <f>SUM($K$3:$K$36)</f>
        <v>48679</v>
      </c>
      <c r="L37" s="65">
        <f>SUM($L$3:$L$36)</f>
        <v>3527</v>
      </c>
      <c r="M37" s="65">
        <f>SUM($M$3:$M$36)</f>
        <v>78646</v>
      </c>
      <c r="N37" s="67">
        <f>ROUND(SUM(D37:M37)/C37,2)</f>
        <v>12.22</v>
      </c>
    </row>
  </sheetData>
  <mergeCells count="2">
    <mergeCell ref="A1:N1"/>
    <mergeCell ref="A37:B37"/>
  </mergeCells>
  <printOptions horizontalCentered="1"/>
  <pageMargins left="0.51181102362204722" right="0.51181102362204722" top="0.74803149606299213" bottom="0.74803149606299213" header="0.31496062992125984" footer="0.31496062992125984"/>
  <pageSetup paperSize="5" scale="7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89268-8120-4628-B370-9EA60D77D022}">
  <sheetPr codeName="Sheet43">
    <tabColor theme="5" tint="0.59999389629810485"/>
  </sheetPr>
  <dimension ref="A1:N37"/>
  <sheetViews>
    <sheetView workbookViewId="0">
      <selection activeCell="P36" sqref="P36"/>
    </sheetView>
  </sheetViews>
  <sheetFormatPr defaultRowHeight="14.4"/>
  <cols>
    <col min="1" max="1" width="5.77734375" style="2" customWidth="1"/>
    <col min="2" max="2" width="20.77734375" style="78" customWidth="1"/>
    <col min="3" max="7" width="5.77734375" style="79" customWidth="1"/>
    <col min="8" max="8" width="6.77734375" style="79" customWidth="1"/>
    <col min="9" max="12" width="7.77734375" style="79" customWidth="1"/>
    <col min="13" max="13" width="5.77734375" style="79" customWidth="1"/>
    <col min="14" max="14" width="8.77734375" style="80" customWidth="1"/>
  </cols>
  <sheetData>
    <row r="1" spans="1:14" ht="25.05" customHeight="1">
      <c r="A1" s="53" t="str">
        <f ca="1">"PS wise CCTNS Application Usage Statistics From "&amp;
TEXT(TODAY()-(WEEKDAY(TODAY(),2)-2)-6,"dd-mm-yyyy")&amp;
" TO "&amp;TEXT(TODAY()-(WEEKDAY(TODAY(),2)-2),"dd-mm-yyyy")</f>
        <v>PS wise CCTNS Application Usage Statistics From 27-05-2026 TO 02-06-2026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</row>
    <row r="2" spans="1:14" ht="40.049999999999997" customHeight="1">
      <c r="A2" s="54" t="s">
        <v>86</v>
      </c>
      <c r="B2" s="54" t="s">
        <v>87</v>
      </c>
      <c r="C2" s="55" t="s">
        <v>88</v>
      </c>
      <c r="D2" s="55" t="s">
        <v>89</v>
      </c>
      <c r="E2" s="55" t="s">
        <v>90</v>
      </c>
      <c r="F2" s="55" t="s">
        <v>91</v>
      </c>
      <c r="G2" s="55" t="s">
        <v>92</v>
      </c>
      <c r="H2" s="55" t="s">
        <v>93</v>
      </c>
      <c r="I2" s="55" t="s">
        <v>94</v>
      </c>
      <c r="J2" s="55" t="s">
        <v>95</v>
      </c>
      <c r="K2" s="55" t="s">
        <v>96</v>
      </c>
      <c r="L2" s="55" t="s">
        <v>97</v>
      </c>
      <c r="M2" s="55" t="s">
        <v>98</v>
      </c>
      <c r="N2" s="56" t="s">
        <v>99</v>
      </c>
    </row>
    <row r="3" spans="1:14" ht="27" customHeight="1">
      <c r="A3" s="57">
        <v>1</v>
      </c>
      <c r="B3" s="58" t="s">
        <v>70</v>
      </c>
      <c r="C3" s="70">
        <v>1</v>
      </c>
      <c r="D3" s="70">
        <v>1</v>
      </c>
      <c r="E3" s="70">
        <v>0</v>
      </c>
      <c r="F3" s="70">
        <v>0</v>
      </c>
      <c r="G3" s="70">
        <v>1</v>
      </c>
      <c r="H3" s="70">
        <v>8</v>
      </c>
      <c r="I3" s="70">
        <v>0</v>
      </c>
      <c r="J3" s="70">
        <v>0</v>
      </c>
      <c r="K3" s="70">
        <v>0</v>
      </c>
      <c r="L3" s="70">
        <v>0</v>
      </c>
      <c r="M3" s="70">
        <v>1</v>
      </c>
      <c r="N3" s="71">
        <v>11</v>
      </c>
    </row>
    <row r="4" spans="1:14" ht="27" customHeight="1">
      <c r="A4" s="57">
        <v>2</v>
      </c>
      <c r="B4" s="58" t="s">
        <v>50</v>
      </c>
      <c r="C4" s="70">
        <v>1</v>
      </c>
      <c r="D4" s="70">
        <v>1</v>
      </c>
      <c r="E4" s="70">
        <v>0</v>
      </c>
      <c r="F4" s="70">
        <v>0</v>
      </c>
      <c r="G4" s="70">
        <v>3</v>
      </c>
      <c r="H4" s="70">
        <v>7</v>
      </c>
      <c r="I4" s="70">
        <v>0</v>
      </c>
      <c r="J4" s="70">
        <v>0</v>
      </c>
      <c r="K4" s="70">
        <v>0</v>
      </c>
      <c r="L4" s="70">
        <v>0</v>
      </c>
      <c r="M4" s="70">
        <v>0</v>
      </c>
      <c r="N4" s="71">
        <v>11</v>
      </c>
    </row>
    <row r="5" spans="1:14" ht="27" customHeight="1">
      <c r="A5" s="57">
        <v>3</v>
      </c>
      <c r="B5" s="58" t="s">
        <v>73</v>
      </c>
      <c r="C5" s="70">
        <v>1</v>
      </c>
      <c r="D5" s="70">
        <v>1</v>
      </c>
      <c r="E5" s="70">
        <v>0</v>
      </c>
      <c r="F5" s="70">
        <v>0</v>
      </c>
      <c r="G5" s="70">
        <v>1</v>
      </c>
      <c r="H5" s="70">
        <v>4</v>
      </c>
      <c r="I5" s="70">
        <v>0</v>
      </c>
      <c r="J5" s="70">
        <v>0</v>
      </c>
      <c r="K5" s="70">
        <v>0</v>
      </c>
      <c r="L5" s="70">
        <v>0</v>
      </c>
      <c r="M5" s="70">
        <v>3</v>
      </c>
      <c r="N5" s="71">
        <v>9</v>
      </c>
    </row>
    <row r="6" spans="1:14" ht="27" customHeight="1">
      <c r="A6" s="57">
        <v>4</v>
      </c>
      <c r="B6" s="58" t="s">
        <v>49</v>
      </c>
      <c r="C6" s="70">
        <v>5</v>
      </c>
      <c r="D6" s="70">
        <v>5</v>
      </c>
      <c r="E6" s="70">
        <v>2</v>
      </c>
      <c r="F6" s="70">
        <v>0</v>
      </c>
      <c r="G6" s="70">
        <v>8</v>
      </c>
      <c r="H6" s="70">
        <v>16</v>
      </c>
      <c r="I6" s="70">
        <v>0</v>
      </c>
      <c r="J6" s="70">
        <v>0</v>
      </c>
      <c r="K6" s="70">
        <v>0</v>
      </c>
      <c r="L6" s="70">
        <v>0</v>
      </c>
      <c r="M6" s="70">
        <v>1</v>
      </c>
      <c r="N6" s="71">
        <v>6.4</v>
      </c>
    </row>
    <row r="7" spans="1:14" ht="27" customHeight="1">
      <c r="A7" s="57">
        <v>5</v>
      </c>
      <c r="B7" s="58" t="s">
        <v>42</v>
      </c>
      <c r="C7" s="70">
        <v>4</v>
      </c>
      <c r="D7" s="70">
        <v>4</v>
      </c>
      <c r="E7" s="70">
        <v>3</v>
      </c>
      <c r="F7" s="70">
        <v>0</v>
      </c>
      <c r="G7" s="70">
        <v>3</v>
      </c>
      <c r="H7" s="70">
        <v>14</v>
      </c>
      <c r="I7" s="70">
        <v>0</v>
      </c>
      <c r="J7" s="70">
        <v>0</v>
      </c>
      <c r="K7" s="70">
        <v>0</v>
      </c>
      <c r="L7" s="70">
        <v>0</v>
      </c>
      <c r="M7" s="70">
        <v>0</v>
      </c>
      <c r="N7" s="71">
        <v>6</v>
      </c>
    </row>
    <row r="8" spans="1:14" ht="27" customHeight="1">
      <c r="A8" s="57">
        <v>6</v>
      </c>
      <c r="B8" s="58" t="s">
        <v>68</v>
      </c>
      <c r="C8" s="70">
        <v>2</v>
      </c>
      <c r="D8" s="70">
        <v>2</v>
      </c>
      <c r="E8" s="70">
        <v>0</v>
      </c>
      <c r="F8" s="70">
        <v>0</v>
      </c>
      <c r="G8" s="70">
        <v>2</v>
      </c>
      <c r="H8" s="70">
        <v>8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2">
        <v>6</v>
      </c>
    </row>
    <row r="9" spans="1:14" ht="27" customHeight="1">
      <c r="A9" s="57">
        <v>7</v>
      </c>
      <c r="B9" s="58" t="s">
        <v>60</v>
      </c>
      <c r="C9" s="70">
        <v>2</v>
      </c>
      <c r="D9" s="70">
        <v>2</v>
      </c>
      <c r="E9" s="70">
        <v>0</v>
      </c>
      <c r="F9" s="70">
        <v>0</v>
      </c>
      <c r="G9" s="70">
        <v>2</v>
      </c>
      <c r="H9" s="70">
        <v>7</v>
      </c>
      <c r="I9" s="70">
        <v>0</v>
      </c>
      <c r="J9" s="70">
        <v>0</v>
      </c>
      <c r="K9" s="70">
        <v>0</v>
      </c>
      <c r="L9" s="70">
        <v>0</v>
      </c>
      <c r="M9" s="70">
        <v>0</v>
      </c>
      <c r="N9" s="72">
        <v>5.5</v>
      </c>
    </row>
    <row r="10" spans="1:14" ht="27" customHeight="1">
      <c r="A10" s="57">
        <v>8</v>
      </c>
      <c r="B10" s="58" t="s">
        <v>56</v>
      </c>
      <c r="C10" s="70">
        <v>2</v>
      </c>
      <c r="D10" s="70">
        <v>2</v>
      </c>
      <c r="E10" s="70">
        <v>1</v>
      </c>
      <c r="F10" s="70">
        <v>0</v>
      </c>
      <c r="G10" s="70">
        <v>1</v>
      </c>
      <c r="H10" s="70">
        <v>2</v>
      </c>
      <c r="I10" s="70">
        <v>0</v>
      </c>
      <c r="J10" s="70">
        <v>0</v>
      </c>
      <c r="K10" s="70">
        <v>0</v>
      </c>
      <c r="L10" s="70">
        <v>0</v>
      </c>
      <c r="M10" s="70">
        <v>5</v>
      </c>
      <c r="N10" s="72">
        <v>5.5</v>
      </c>
    </row>
    <row r="11" spans="1:14" ht="27" customHeight="1">
      <c r="A11" s="57">
        <v>9</v>
      </c>
      <c r="B11" s="58" t="s">
        <v>48</v>
      </c>
      <c r="C11" s="70">
        <v>1</v>
      </c>
      <c r="D11" s="70">
        <v>1</v>
      </c>
      <c r="E11" s="70">
        <v>0</v>
      </c>
      <c r="F11" s="70">
        <v>0</v>
      </c>
      <c r="G11" s="70">
        <v>1</v>
      </c>
      <c r="H11" s="70">
        <v>3</v>
      </c>
      <c r="I11" s="70">
        <v>0</v>
      </c>
      <c r="J11" s="70">
        <v>0</v>
      </c>
      <c r="K11" s="70">
        <v>0</v>
      </c>
      <c r="L11" s="70">
        <v>0</v>
      </c>
      <c r="M11" s="70">
        <v>0</v>
      </c>
      <c r="N11" s="72">
        <v>5</v>
      </c>
    </row>
    <row r="12" spans="1:14" ht="27" customHeight="1">
      <c r="A12" s="57">
        <v>10</v>
      </c>
      <c r="B12" s="58" t="s">
        <v>64</v>
      </c>
      <c r="C12" s="70">
        <v>4</v>
      </c>
      <c r="D12" s="70">
        <v>4</v>
      </c>
      <c r="E12" s="70">
        <v>2</v>
      </c>
      <c r="F12" s="70">
        <v>0</v>
      </c>
      <c r="G12" s="70">
        <v>4</v>
      </c>
      <c r="H12" s="70">
        <v>6</v>
      </c>
      <c r="I12" s="70">
        <v>0</v>
      </c>
      <c r="J12" s="70">
        <v>0</v>
      </c>
      <c r="K12" s="70">
        <v>0</v>
      </c>
      <c r="L12" s="70">
        <v>0</v>
      </c>
      <c r="M12" s="70">
        <v>0</v>
      </c>
      <c r="N12" s="72">
        <v>4</v>
      </c>
    </row>
    <row r="13" spans="1:14" ht="27" customHeight="1">
      <c r="A13" s="57">
        <v>11</v>
      </c>
      <c r="B13" s="58" t="s">
        <v>44</v>
      </c>
      <c r="C13" s="70">
        <v>1</v>
      </c>
      <c r="D13" s="70">
        <v>1</v>
      </c>
      <c r="E13" s="70">
        <v>0</v>
      </c>
      <c r="F13" s="70">
        <v>0</v>
      </c>
      <c r="G13" s="70">
        <v>1</v>
      </c>
      <c r="H13" s="70">
        <v>2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2">
        <v>4</v>
      </c>
    </row>
    <row r="14" spans="1:14" ht="27" customHeight="1">
      <c r="A14" s="57">
        <v>12</v>
      </c>
      <c r="B14" s="58" t="s">
        <v>59</v>
      </c>
      <c r="C14" s="70">
        <v>7</v>
      </c>
      <c r="D14" s="70">
        <v>7</v>
      </c>
      <c r="E14" s="70">
        <v>1</v>
      </c>
      <c r="F14" s="70">
        <v>0</v>
      </c>
      <c r="G14" s="70">
        <v>4</v>
      </c>
      <c r="H14" s="70">
        <v>13</v>
      </c>
      <c r="I14" s="70">
        <v>0</v>
      </c>
      <c r="J14" s="70">
        <v>0</v>
      </c>
      <c r="K14" s="70">
        <v>0</v>
      </c>
      <c r="L14" s="70">
        <v>0</v>
      </c>
      <c r="M14" s="70">
        <v>0</v>
      </c>
      <c r="N14" s="72">
        <v>3.5714285714285716</v>
      </c>
    </row>
    <row r="15" spans="1:14" ht="27" customHeight="1">
      <c r="A15" s="57">
        <v>13</v>
      </c>
      <c r="B15" s="58" t="s">
        <v>47</v>
      </c>
      <c r="C15" s="70">
        <v>3</v>
      </c>
      <c r="D15" s="70">
        <v>3</v>
      </c>
      <c r="E15" s="70">
        <v>2</v>
      </c>
      <c r="F15" s="70">
        <v>0</v>
      </c>
      <c r="G15" s="70">
        <v>2</v>
      </c>
      <c r="H15" s="70">
        <v>3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2">
        <v>3.3333333333333335</v>
      </c>
    </row>
    <row r="16" spans="1:14" ht="27" customHeight="1">
      <c r="A16" s="57">
        <v>14</v>
      </c>
      <c r="B16" s="58" t="s">
        <v>62</v>
      </c>
      <c r="C16" s="70">
        <v>5</v>
      </c>
      <c r="D16" s="70">
        <v>5</v>
      </c>
      <c r="E16" s="70">
        <v>0</v>
      </c>
      <c r="F16" s="70">
        <v>0</v>
      </c>
      <c r="G16" s="70">
        <v>5</v>
      </c>
      <c r="H16" s="70">
        <v>5</v>
      </c>
      <c r="I16" s="70">
        <v>0</v>
      </c>
      <c r="J16" s="70">
        <v>0</v>
      </c>
      <c r="K16" s="70">
        <v>0</v>
      </c>
      <c r="L16" s="70">
        <v>0</v>
      </c>
      <c r="M16" s="70">
        <v>0</v>
      </c>
      <c r="N16" s="72">
        <v>3</v>
      </c>
    </row>
    <row r="17" spans="1:14" ht="27" customHeight="1">
      <c r="A17" s="57">
        <v>15</v>
      </c>
      <c r="B17" s="58" t="s">
        <v>63</v>
      </c>
      <c r="C17" s="70">
        <v>3</v>
      </c>
      <c r="D17" s="70">
        <v>3</v>
      </c>
      <c r="E17" s="70">
        <v>0</v>
      </c>
      <c r="F17" s="70">
        <v>0</v>
      </c>
      <c r="G17" s="70">
        <v>3</v>
      </c>
      <c r="H17" s="70">
        <v>3</v>
      </c>
      <c r="I17" s="70">
        <v>0</v>
      </c>
      <c r="J17" s="70">
        <v>0</v>
      </c>
      <c r="K17" s="70">
        <v>0</v>
      </c>
      <c r="L17" s="70">
        <v>0</v>
      </c>
      <c r="M17" s="70">
        <v>0</v>
      </c>
      <c r="N17" s="72">
        <v>3</v>
      </c>
    </row>
    <row r="18" spans="1:14" ht="27" customHeight="1">
      <c r="A18" s="57">
        <v>16</v>
      </c>
      <c r="B18" s="58" t="s">
        <v>45</v>
      </c>
      <c r="C18" s="70">
        <v>2</v>
      </c>
      <c r="D18" s="70">
        <v>2</v>
      </c>
      <c r="E18" s="70">
        <v>0</v>
      </c>
      <c r="F18" s="70">
        <v>0</v>
      </c>
      <c r="G18" s="70">
        <v>2</v>
      </c>
      <c r="H18" s="70">
        <v>2</v>
      </c>
      <c r="I18" s="70">
        <v>0</v>
      </c>
      <c r="J18" s="70">
        <v>0</v>
      </c>
      <c r="K18" s="70">
        <v>0</v>
      </c>
      <c r="L18" s="70">
        <v>0</v>
      </c>
      <c r="M18" s="70">
        <v>0</v>
      </c>
      <c r="N18" s="72">
        <v>3</v>
      </c>
    </row>
    <row r="19" spans="1:14" ht="27" customHeight="1">
      <c r="A19" s="57">
        <v>17</v>
      </c>
      <c r="B19" s="58" t="s">
        <v>51</v>
      </c>
      <c r="C19" s="70">
        <v>1</v>
      </c>
      <c r="D19" s="70">
        <v>2</v>
      </c>
      <c r="E19" s="70">
        <v>0</v>
      </c>
      <c r="F19" s="70">
        <v>0</v>
      </c>
      <c r="G19" s="70">
        <v>0</v>
      </c>
      <c r="H19" s="70">
        <v>1</v>
      </c>
      <c r="I19" s="70">
        <v>0</v>
      </c>
      <c r="J19" s="70">
        <v>0</v>
      </c>
      <c r="K19" s="70">
        <v>0</v>
      </c>
      <c r="L19" s="70">
        <v>0</v>
      </c>
      <c r="M19" s="70">
        <v>0</v>
      </c>
      <c r="N19" s="72">
        <v>3</v>
      </c>
    </row>
    <row r="20" spans="1:14" ht="27" customHeight="1">
      <c r="A20" s="57">
        <v>18</v>
      </c>
      <c r="B20" s="58" t="s">
        <v>57</v>
      </c>
      <c r="C20" s="70">
        <v>8</v>
      </c>
      <c r="D20" s="70">
        <v>8</v>
      </c>
      <c r="E20" s="70">
        <v>0</v>
      </c>
      <c r="F20" s="70">
        <v>0</v>
      </c>
      <c r="G20" s="70">
        <v>8</v>
      </c>
      <c r="H20" s="70">
        <v>1</v>
      </c>
      <c r="I20" s="70">
        <v>0</v>
      </c>
      <c r="J20" s="70">
        <v>0</v>
      </c>
      <c r="K20" s="70">
        <v>0</v>
      </c>
      <c r="L20" s="70">
        <v>0</v>
      </c>
      <c r="M20" s="70">
        <v>2</v>
      </c>
      <c r="N20" s="72">
        <v>2.375</v>
      </c>
    </row>
    <row r="21" spans="1:14" ht="27" customHeight="1">
      <c r="A21" s="57">
        <v>19</v>
      </c>
      <c r="B21" s="58" t="s">
        <v>54</v>
      </c>
      <c r="C21" s="70">
        <v>2</v>
      </c>
      <c r="D21" s="70">
        <v>2</v>
      </c>
      <c r="E21" s="70">
        <v>0</v>
      </c>
      <c r="F21" s="70">
        <v>0</v>
      </c>
      <c r="G21" s="70">
        <v>2</v>
      </c>
      <c r="H21" s="70">
        <v>0</v>
      </c>
      <c r="I21" s="70">
        <v>0</v>
      </c>
      <c r="J21" s="70">
        <v>0</v>
      </c>
      <c r="K21" s="70">
        <v>0</v>
      </c>
      <c r="L21" s="70">
        <v>0</v>
      </c>
      <c r="M21" s="70">
        <v>0</v>
      </c>
      <c r="N21" s="72">
        <v>2</v>
      </c>
    </row>
    <row r="22" spans="1:14" ht="27" customHeight="1">
      <c r="A22" s="57">
        <v>20</v>
      </c>
      <c r="B22" s="58" t="s">
        <v>66</v>
      </c>
      <c r="C22" s="70">
        <v>3</v>
      </c>
      <c r="D22" s="70">
        <v>3</v>
      </c>
      <c r="E22" s="70">
        <v>1</v>
      </c>
      <c r="F22" s="70">
        <v>0</v>
      </c>
      <c r="G22" s="70">
        <v>0</v>
      </c>
      <c r="H22" s="70">
        <v>0</v>
      </c>
      <c r="I22" s="70">
        <v>0</v>
      </c>
      <c r="J22" s="70">
        <v>0</v>
      </c>
      <c r="K22" s="70">
        <v>0</v>
      </c>
      <c r="L22" s="70">
        <v>0</v>
      </c>
      <c r="M22" s="70">
        <v>0</v>
      </c>
      <c r="N22" s="73">
        <v>1.3333333333333333</v>
      </c>
    </row>
    <row r="23" spans="1:14" ht="27" customHeight="1">
      <c r="A23" s="57">
        <v>21</v>
      </c>
      <c r="B23" s="58" t="s">
        <v>55</v>
      </c>
      <c r="C23" s="70">
        <v>3</v>
      </c>
      <c r="D23" s="70">
        <v>3</v>
      </c>
      <c r="E23" s="70">
        <v>0</v>
      </c>
      <c r="F23" s="70">
        <v>0</v>
      </c>
      <c r="G23" s="70">
        <v>0</v>
      </c>
      <c r="H23" s="70">
        <v>0</v>
      </c>
      <c r="I23" s="70">
        <v>0</v>
      </c>
      <c r="J23" s="70">
        <v>0</v>
      </c>
      <c r="K23" s="70">
        <v>0</v>
      </c>
      <c r="L23" s="70">
        <v>0</v>
      </c>
      <c r="M23" s="70">
        <v>0</v>
      </c>
      <c r="N23" s="73">
        <v>1</v>
      </c>
    </row>
    <row r="24" spans="1:14" ht="27" customHeight="1">
      <c r="A24" s="57">
        <v>22</v>
      </c>
      <c r="B24" s="58" t="s">
        <v>71</v>
      </c>
      <c r="C24" s="70">
        <v>1</v>
      </c>
      <c r="D24" s="70">
        <v>1</v>
      </c>
      <c r="E24" s="70">
        <v>0</v>
      </c>
      <c r="F24" s="70">
        <v>0</v>
      </c>
      <c r="G24" s="70">
        <v>0</v>
      </c>
      <c r="H24" s="70">
        <v>0</v>
      </c>
      <c r="I24" s="70">
        <v>0</v>
      </c>
      <c r="J24" s="70">
        <v>0</v>
      </c>
      <c r="K24" s="70">
        <v>0</v>
      </c>
      <c r="L24" s="70">
        <v>0</v>
      </c>
      <c r="M24" s="70">
        <v>0</v>
      </c>
      <c r="N24" s="73">
        <v>1</v>
      </c>
    </row>
    <row r="25" spans="1:14" ht="27" customHeight="1">
      <c r="A25" s="57">
        <v>23</v>
      </c>
      <c r="B25" s="58" t="s">
        <v>53</v>
      </c>
      <c r="C25" s="70">
        <v>1</v>
      </c>
      <c r="D25" s="70">
        <v>1</v>
      </c>
      <c r="E25" s="70">
        <v>0</v>
      </c>
      <c r="F25" s="70">
        <v>0</v>
      </c>
      <c r="G25" s="70">
        <v>0</v>
      </c>
      <c r="H25" s="70">
        <v>0</v>
      </c>
      <c r="I25" s="70">
        <v>0</v>
      </c>
      <c r="J25" s="70">
        <v>0</v>
      </c>
      <c r="K25" s="70">
        <v>0</v>
      </c>
      <c r="L25" s="70">
        <v>0</v>
      </c>
      <c r="M25" s="70">
        <v>0</v>
      </c>
      <c r="N25" s="73">
        <v>1</v>
      </c>
    </row>
    <row r="26" spans="1:14" ht="27" customHeight="1">
      <c r="A26" s="57">
        <v>24</v>
      </c>
      <c r="B26" s="58" t="s">
        <v>52</v>
      </c>
      <c r="C26" s="70">
        <v>1</v>
      </c>
      <c r="D26" s="70">
        <v>1</v>
      </c>
      <c r="E26" s="70">
        <v>0</v>
      </c>
      <c r="F26" s="70">
        <v>0</v>
      </c>
      <c r="G26" s="70">
        <v>0</v>
      </c>
      <c r="H26" s="70">
        <v>0</v>
      </c>
      <c r="I26" s="70">
        <v>0</v>
      </c>
      <c r="J26" s="70">
        <v>0</v>
      </c>
      <c r="K26" s="70">
        <v>0</v>
      </c>
      <c r="L26" s="70">
        <v>0</v>
      </c>
      <c r="M26" s="70">
        <v>0</v>
      </c>
      <c r="N26" s="73">
        <v>1</v>
      </c>
    </row>
    <row r="27" spans="1:14" ht="27" customHeight="1">
      <c r="A27" s="57">
        <v>25</v>
      </c>
      <c r="B27" s="58" t="s">
        <v>43</v>
      </c>
      <c r="C27" s="70">
        <v>2</v>
      </c>
      <c r="D27" s="70">
        <v>1</v>
      </c>
      <c r="E27" s="70">
        <v>0</v>
      </c>
      <c r="F27" s="70">
        <v>0</v>
      </c>
      <c r="G27" s="70">
        <v>0</v>
      </c>
      <c r="H27" s="70">
        <v>0</v>
      </c>
      <c r="I27" s="70">
        <v>0</v>
      </c>
      <c r="J27" s="70">
        <v>0</v>
      </c>
      <c r="K27" s="70">
        <v>0</v>
      </c>
      <c r="L27" s="70">
        <v>0</v>
      </c>
      <c r="M27" s="70">
        <v>0</v>
      </c>
      <c r="N27" s="73">
        <v>0.5</v>
      </c>
    </row>
    <row r="28" spans="1:14" ht="27" customHeight="1">
      <c r="A28" s="57">
        <v>26</v>
      </c>
      <c r="B28" s="58" t="s">
        <v>67</v>
      </c>
      <c r="C28" s="70">
        <v>2</v>
      </c>
      <c r="D28" s="70">
        <v>1</v>
      </c>
      <c r="E28" s="70">
        <v>0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  <c r="N28" s="73">
        <v>0.5</v>
      </c>
    </row>
    <row r="29" spans="1:14" ht="27" customHeight="1">
      <c r="A29" s="57">
        <v>27</v>
      </c>
      <c r="B29" s="58" t="s">
        <v>72</v>
      </c>
      <c r="C29" s="70">
        <v>1</v>
      </c>
      <c r="D29" s="70">
        <v>0</v>
      </c>
      <c r="E29" s="70">
        <v>0</v>
      </c>
      <c r="F29" s="70">
        <v>0</v>
      </c>
      <c r="G29" s="70">
        <v>0</v>
      </c>
      <c r="H29" s="70">
        <v>0</v>
      </c>
      <c r="I29" s="70">
        <v>0</v>
      </c>
      <c r="J29" s="70">
        <v>0</v>
      </c>
      <c r="K29" s="70">
        <v>0</v>
      </c>
      <c r="L29" s="70">
        <v>0</v>
      </c>
      <c r="M29" s="70">
        <v>0</v>
      </c>
      <c r="N29" s="73">
        <v>0</v>
      </c>
    </row>
    <row r="30" spans="1:14" ht="27" customHeight="1">
      <c r="A30" s="57">
        <v>28</v>
      </c>
      <c r="B30" s="58" t="s">
        <v>65</v>
      </c>
      <c r="C30" s="70">
        <v>1</v>
      </c>
      <c r="D30" s="70">
        <v>0</v>
      </c>
      <c r="E30" s="70">
        <v>0</v>
      </c>
      <c r="F30" s="70">
        <v>0</v>
      </c>
      <c r="G30" s="70">
        <v>0</v>
      </c>
      <c r="H30" s="70">
        <v>0</v>
      </c>
      <c r="I30" s="70">
        <v>0</v>
      </c>
      <c r="J30" s="70">
        <v>0</v>
      </c>
      <c r="K30" s="70">
        <v>0</v>
      </c>
      <c r="L30" s="70">
        <v>0</v>
      </c>
      <c r="M30" s="70">
        <v>0</v>
      </c>
      <c r="N30" s="73">
        <v>0</v>
      </c>
    </row>
    <row r="31" spans="1:14" ht="27" customHeight="1">
      <c r="A31" s="57">
        <v>29</v>
      </c>
      <c r="B31" s="58" t="s">
        <v>58</v>
      </c>
      <c r="C31" s="70">
        <v>0</v>
      </c>
      <c r="D31" s="70">
        <v>0</v>
      </c>
      <c r="E31" s="70">
        <v>0</v>
      </c>
      <c r="F31" s="70">
        <v>0</v>
      </c>
      <c r="G31" s="70">
        <v>0</v>
      </c>
      <c r="H31" s="70">
        <v>0</v>
      </c>
      <c r="I31" s="70">
        <v>0</v>
      </c>
      <c r="J31" s="70">
        <v>0</v>
      </c>
      <c r="K31" s="70">
        <v>0</v>
      </c>
      <c r="L31" s="70">
        <v>0</v>
      </c>
      <c r="M31" s="70">
        <v>0</v>
      </c>
      <c r="N31" s="72">
        <v>0</v>
      </c>
    </row>
    <row r="32" spans="1:14" ht="27" customHeight="1">
      <c r="A32" s="57">
        <v>30</v>
      </c>
      <c r="B32" s="58" t="s">
        <v>46</v>
      </c>
      <c r="C32" s="70">
        <v>0</v>
      </c>
      <c r="D32" s="70">
        <v>0</v>
      </c>
      <c r="E32" s="70">
        <v>0</v>
      </c>
      <c r="F32" s="70">
        <v>0</v>
      </c>
      <c r="G32" s="70">
        <v>0</v>
      </c>
      <c r="H32" s="70">
        <v>0</v>
      </c>
      <c r="I32" s="70">
        <v>0</v>
      </c>
      <c r="J32" s="70">
        <v>0</v>
      </c>
      <c r="K32" s="70">
        <v>0</v>
      </c>
      <c r="L32" s="70">
        <v>0</v>
      </c>
      <c r="M32" s="70">
        <v>0</v>
      </c>
      <c r="N32" s="72">
        <v>0</v>
      </c>
    </row>
    <row r="33" spans="1:14" ht="27" customHeight="1">
      <c r="A33" s="57">
        <v>31</v>
      </c>
      <c r="B33" s="58" t="s">
        <v>69</v>
      </c>
      <c r="C33" s="70">
        <v>0</v>
      </c>
      <c r="D33" s="70">
        <v>0</v>
      </c>
      <c r="E33" s="70">
        <v>0</v>
      </c>
      <c r="F33" s="70">
        <v>0</v>
      </c>
      <c r="G33" s="70">
        <v>0</v>
      </c>
      <c r="H33" s="70">
        <v>0</v>
      </c>
      <c r="I33" s="70">
        <v>0</v>
      </c>
      <c r="J33" s="70">
        <v>0</v>
      </c>
      <c r="K33" s="70">
        <v>0</v>
      </c>
      <c r="L33" s="70">
        <v>0</v>
      </c>
      <c r="M33" s="70">
        <v>0</v>
      </c>
      <c r="N33" s="72">
        <v>0</v>
      </c>
    </row>
    <row r="34" spans="1:14" ht="27" customHeight="1">
      <c r="A34" s="57">
        <v>32</v>
      </c>
      <c r="B34" s="58" t="s">
        <v>41</v>
      </c>
      <c r="C34" s="70">
        <v>0</v>
      </c>
      <c r="D34" s="70">
        <v>0</v>
      </c>
      <c r="E34" s="70">
        <v>0</v>
      </c>
      <c r="F34" s="70">
        <v>0</v>
      </c>
      <c r="G34" s="70">
        <v>0</v>
      </c>
      <c r="H34" s="70">
        <v>0</v>
      </c>
      <c r="I34" s="70">
        <v>0</v>
      </c>
      <c r="J34" s="70">
        <v>0</v>
      </c>
      <c r="K34" s="70">
        <v>0</v>
      </c>
      <c r="L34" s="70">
        <v>0</v>
      </c>
      <c r="M34" s="70">
        <v>0</v>
      </c>
      <c r="N34" s="72">
        <v>0</v>
      </c>
    </row>
    <row r="35" spans="1:14" ht="27" customHeight="1">
      <c r="A35" s="57">
        <v>33</v>
      </c>
      <c r="B35" s="58" t="s">
        <v>61</v>
      </c>
      <c r="C35" s="70">
        <v>0</v>
      </c>
      <c r="D35" s="70">
        <v>0</v>
      </c>
      <c r="E35" s="70">
        <v>0</v>
      </c>
      <c r="F35" s="70">
        <v>0</v>
      </c>
      <c r="G35" s="70">
        <v>0</v>
      </c>
      <c r="H35" s="70">
        <v>0</v>
      </c>
      <c r="I35" s="70">
        <v>0</v>
      </c>
      <c r="J35" s="70">
        <v>0</v>
      </c>
      <c r="K35" s="70">
        <v>0</v>
      </c>
      <c r="L35" s="70">
        <v>0</v>
      </c>
      <c r="M35" s="70">
        <v>0</v>
      </c>
      <c r="N35" s="72">
        <v>0</v>
      </c>
    </row>
    <row r="36" spans="1:14" ht="27" customHeight="1">
      <c r="A36" s="57">
        <v>34</v>
      </c>
      <c r="B36" s="58" t="s">
        <v>74</v>
      </c>
      <c r="C36" s="70">
        <v>0</v>
      </c>
      <c r="D36" s="70">
        <v>0</v>
      </c>
      <c r="E36" s="70">
        <v>0</v>
      </c>
      <c r="F36" s="70">
        <v>0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70">
        <v>0</v>
      </c>
      <c r="M36" s="70">
        <v>0</v>
      </c>
      <c r="N36" s="72">
        <v>0</v>
      </c>
    </row>
    <row r="37" spans="1:14" ht="27" customHeight="1">
      <c r="A37" s="74" t="s">
        <v>75</v>
      </c>
      <c r="B37" s="75"/>
      <c r="C37" s="76">
        <f>SUM($C$3:$C$36)</f>
        <v>70</v>
      </c>
      <c r="D37" s="76">
        <f>SUM($D$3:$D$36)</f>
        <v>67</v>
      </c>
      <c r="E37" s="76">
        <f>SUM($E$3:$E$36)</f>
        <v>12</v>
      </c>
      <c r="F37" s="76">
        <f>SUM($F$3:$F$36)</f>
        <v>0</v>
      </c>
      <c r="G37" s="76">
        <f>SUM($G$3:$G$36)</f>
        <v>53</v>
      </c>
      <c r="H37" s="76">
        <f>SUM($H$3:$H$36)</f>
        <v>105</v>
      </c>
      <c r="I37" s="76">
        <f>SUM($I$3:$I$36)</f>
        <v>0</v>
      </c>
      <c r="J37" s="76">
        <f>SUM($J$3:$J$36)</f>
        <v>0</v>
      </c>
      <c r="K37" s="76">
        <f>SUM($K$3:$K$36)</f>
        <v>0</v>
      </c>
      <c r="L37" s="76">
        <f>SUM($L$3:$L$36)</f>
        <v>0</v>
      </c>
      <c r="M37" s="76">
        <f>SUM($M$3:$M$36)</f>
        <v>12</v>
      </c>
      <c r="N37" s="77">
        <f>ROUND(SUM(D37:M37)/C37,2)</f>
        <v>3.56</v>
      </c>
    </row>
  </sheetData>
  <mergeCells count="2">
    <mergeCell ref="A1:N1"/>
    <mergeCell ref="A37:B37"/>
  </mergeCells>
  <printOptions horizontalCentered="1"/>
  <pageMargins left="0.51181102362204722" right="0.51181102362204722" top="0.75" bottom="0.75" header="0.3" footer="0.3"/>
  <pageSetup paperSize="5" scale="8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2326A-905E-44DB-B1DC-C0A21EB5F3E5}">
  <sheetPr codeName="Sheet2"/>
  <dimension ref="A1:L61"/>
  <sheetViews>
    <sheetView workbookViewId="0">
      <selection activeCell="G4" sqref="G4:H4"/>
    </sheetView>
  </sheetViews>
  <sheetFormatPr defaultRowHeight="14.4"/>
  <cols>
    <col min="1" max="1" width="5.33203125" style="95" bestFit="1" customWidth="1"/>
    <col min="2" max="2" width="24.109375" style="99" bestFit="1" customWidth="1"/>
    <col min="3" max="3" width="11.77734375" style="95" bestFit="1" customWidth="1"/>
    <col min="4" max="5" width="13.77734375" style="95" bestFit="1" customWidth="1"/>
    <col min="6" max="6" width="13.6640625" style="95" customWidth="1"/>
    <col min="7" max="7" width="18.88671875" style="95" customWidth="1"/>
    <col min="8" max="8" width="11.6640625" style="95" bestFit="1" customWidth="1"/>
    <col min="9" max="9" width="26.77734375" style="100" customWidth="1"/>
    <col min="10" max="10" width="33.77734375" style="100" customWidth="1"/>
    <col min="11" max="11" width="22.88671875" style="95" customWidth="1"/>
    <col min="12" max="16384" width="8.88671875" style="82"/>
  </cols>
  <sheetData>
    <row r="1" spans="1:12" ht="25.05" customHeight="1">
      <c r="A1" s="81" t="s">
        <v>100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spans="1:12" s="86" customFormat="1" ht="150" customHeight="1">
      <c r="A2" s="83" t="s">
        <v>0</v>
      </c>
      <c r="B2" s="84" t="s">
        <v>87</v>
      </c>
      <c r="C2" s="83" t="s">
        <v>101</v>
      </c>
      <c r="D2" s="83" t="s">
        <v>102</v>
      </c>
      <c r="E2" s="83" t="s">
        <v>103</v>
      </c>
      <c r="F2" s="83" t="s">
        <v>104</v>
      </c>
      <c r="G2" s="83" t="s">
        <v>105</v>
      </c>
      <c r="H2" s="83" t="s">
        <v>106</v>
      </c>
      <c r="I2" s="85" t="s">
        <v>107</v>
      </c>
      <c r="J2" s="85" t="s">
        <v>108</v>
      </c>
      <c r="K2" s="83" t="s">
        <v>109</v>
      </c>
    </row>
    <row r="3" spans="1:12" s="93" customFormat="1" ht="28.05" customHeight="1">
      <c r="A3" s="87">
        <v>1</v>
      </c>
      <c r="B3" s="88" t="s">
        <v>110</v>
      </c>
      <c r="C3" s="89">
        <v>323</v>
      </c>
      <c r="D3" s="89">
        <v>172</v>
      </c>
      <c r="E3" s="89">
        <v>151</v>
      </c>
      <c r="F3" s="89">
        <v>142</v>
      </c>
      <c r="G3" s="89">
        <v>67</v>
      </c>
      <c r="H3" s="90">
        <f>F3-G3</f>
        <v>75</v>
      </c>
      <c r="I3" s="91">
        <f>E3/F3*100</f>
        <v>106.33802816901408</v>
      </c>
      <c r="J3" s="91">
        <f>(H3-MIN($H$3:$H$34))*100/(MAX($H$3:$H$34)-MIN($H$3:$H$34))</f>
        <v>100</v>
      </c>
      <c r="K3" s="92">
        <f>IF(AND(I3*0.7+J3*0.3&gt;100),100,I3*0.7+J3*0.3)</f>
        <v>100</v>
      </c>
      <c r="L3" s="93">
        <f>F3-G3</f>
        <v>75</v>
      </c>
    </row>
    <row r="4" spans="1:12" s="93" customFormat="1" ht="28.05" customHeight="1">
      <c r="A4" s="87">
        <v>2</v>
      </c>
      <c r="B4" s="88" t="s">
        <v>111</v>
      </c>
      <c r="C4" s="89">
        <v>18</v>
      </c>
      <c r="D4" s="89">
        <v>10</v>
      </c>
      <c r="E4" s="89">
        <v>8</v>
      </c>
      <c r="F4" s="89">
        <v>8</v>
      </c>
      <c r="G4" s="89">
        <v>2</v>
      </c>
      <c r="H4" s="90">
        <f>F4-G4</f>
        <v>6</v>
      </c>
      <c r="I4" s="91">
        <f>E4/F4*100</f>
        <v>100</v>
      </c>
      <c r="J4" s="91">
        <f>(H4-MIN($H$3:$H$34))*100/(MAX($H$3:$H$34)-MIN($H$3:$H$34))</f>
        <v>5.4794520547945202</v>
      </c>
      <c r="K4" s="92">
        <f>IF(AND(I4*0.7+J4*0.3&gt;100),100,I4*0.7+J4*0.3)</f>
        <v>71.643835616438352</v>
      </c>
    </row>
    <row r="5" spans="1:12" s="93" customFormat="1" ht="28.05" customHeight="1">
      <c r="A5" s="87">
        <v>3</v>
      </c>
      <c r="B5" s="88" t="s">
        <v>112</v>
      </c>
      <c r="C5" s="89">
        <v>68</v>
      </c>
      <c r="D5" s="89">
        <v>38</v>
      </c>
      <c r="E5" s="89">
        <v>30</v>
      </c>
      <c r="F5" s="89">
        <v>37</v>
      </c>
      <c r="G5" s="89">
        <v>14</v>
      </c>
      <c r="H5" s="90">
        <f>F5-G5</f>
        <v>23</v>
      </c>
      <c r="I5" s="91">
        <f>E5/F5*100</f>
        <v>81.081081081081081</v>
      </c>
      <c r="J5" s="91">
        <f>(H5-MIN($H$3:$H$34))*100/(MAX($H$3:$H$34)-MIN($H$3:$H$34))</f>
        <v>28.767123287671232</v>
      </c>
      <c r="K5" s="92">
        <f>IF(AND(I5*0.7+J5*0.3&gt;100),100,I5*0.7+J5*0.3)</f>
        <v>65.386893743058124</v>
      </c>
    </row>
    <row r="6" spans="1:12" s="93" customFormat="1" ht="28.05" customHeight="1">
      <c r="A6" s="87">
        <v>4</v>
      </c>
      <c r="B6" s="88" t="s">
        <v>113</v>
      </c>
      <c r="C6" s="89">
        <v>66</v>
      </c>
      <c r="D6" s="89">
        <v>42</v>
      </c>
      <c r="E6" s="89">
        <v>24</v>
      </c>
      <c r="F6" s="89">
        <v>29</v>
      </c>
      <c r="G6" s="89">
        <v>10</v>
      </c>
      <c r="H6" s="90">
        <f>F6-G6</f>
        <v>19</v>
      </c>
      <c r="I6" s="91">
        <f>E6/F6*100</f>
        <v>82.758620689655174</v>
      </c>
      <c r="J6" s="91">
        <f>(H6-MIN($H$3:$H$34))*100/(MAX($H$3:$H$34)-MIN($H$3:$H$34))</f>
        <v>23.287671232876711</v>
      </c>
      <c r="K6" s="92">
        <f>IF(AND(I6*0.7+J6*0.3&gt;100),100,I6*0.7+J6*0.3)</f>
        <v>64.917335852621633</v>
      </c>
    </row>
    <row r="7" spans="1:12" s="93" customFormat="1" ht="28.05" customHeight="1">
      <c r="A7" s="87">
        <v>5</v>
      </c>
      <c r="B7" s="88" t="s">
        <v>114</v>
      </c>
      <c r="C7" s="89">
        <v>66</v>
      </c>
      <c r="D7" s="89">
        <v>39</v>
      </c>
      <c r="E7" s="89">
        <v>27</v>
      </c>
      <c r="F7" s="89">
        <v>36</v>
      </c>
      <c r="G7" s="89">
        <v>14</v>
      </c>
      <c r="H7" s="90">
        <f>F7-G7</f>
        <v>22</v>
      </c>
      <c r="I7" s="91">
        <f>E7/F7*100</f>
        <v>75</v>
      </c>
      <c r="J7" s="91">
        <f>(H7-MIN($H$3:$H$34))*100/(MAX($H$3:$H$34)-MIN($H$3:$H$34))</f>
        <v>27.397260273972602</v>
      </c>
      <c r="K7" s="92">
        <f>IF(AND(I7*0.7+J7*0.3&gt;100),100,I7*0.7+J7*0.3)</f>
        <v>60.719178082191782</v>
      </c>
    </row>
    <row r="8" spans="1:12" s="93" customFormat="1" ht="28.05" customHeight="1">
      <c r="A8" s="87">
        <v>6</v>
      </c>
      <c r="B8" s="88" t="s">
        <v>115</v>
      </c>
      <c r="C8" s="89">
        <v>68</v>
      </c>
      <c r="D8" s="89">
        <v>43</v>
      </c>
      <c r="E8" s="89">
        <v>25</v>
      </c>
      <c r="F8" s="89">
        <v>33</v>
      </c>
      <c r="G8" s="89">
        <v>13</v>
      </c>
      <c r="H8" s="90">
        <f>F8-G8</f>
        <v>20</v>
      </c>
      <c r="I8" s="91">
        <f>E8/F8*100</f>
        <v>75.757575757575751</v>
      </c>
      <c r="J8" s="91">
        <f>(H8-MIN($H$3:$H$34))*100/(MAX($H$3:$H$34)-MIN($H$3:$H$34))</f>
        <v>24.657534246575342</v>
      </c>
      <c r="K8" s="91">
        <f>IF(AND(I8*0.7+J8*0.3&gt;100),100,I8*0.7+J8*0.3)</f>
        <v>60.427563304275623</v>
      </c>
    </row>
    <row r="9" spans="1:12" s="93" customFormat="1" ht="28.05" customHeight="1">
      <c r="A9" s="87">
        <v>7</v>
      </c>
      <c r="B9" s="88" t="s">
        <v>116</v>
      </c>
      <c r="C9" s="89">
        <v>70</v>
      </c>
      <c r="D9" s="89">
        <v>45</v>
      </c>
      <c r="E9" s="89">
        <v>25</v>
      </c>
      <c r="F9" s="89">
        <v>34</v>
      </c>
      <c r="G9" s="89">
        <v>11</v>
      </c>
      <c r="H9" s="90">
        <f>F9-G9</f>
        <v>23</v>
      </c>
      <c r="I9" s="91">
        <f>E9/F9*100</f>
        <v>73.529411764705884</v>
      </c>
      <c r="J9" s="91">
        <f>(H9-MIN($H$3:$H$34))*100/(MAX($H$3:$H$34)-MIN($H$3:$H$34))</f>
        <v>28.767123287671232</v>
      </c>
      <c r="K9" s="91">
        <f>IF(AND(I9*0.7+J9*0.3&gt;100),100,I9*0.7+J9*0.3)</f>
        <v>60.100725221595482</v>
      </c>
    </row>
    <row r="10" spans="1:12" s="93" customFormat="1" ht="28.05" customHeight="1">
      <c r="A10" s="87">
        <v>8</v>
      </c>
      <c r="B10" s="88" t="s">
        <v>117</v>
      </c>
      <c r="C10" s="89">
        <v>38</v>
      </c>
      <c r="D10" s="89">
        <v>24</v>
      </c>
      <c r="E10" s="89">
        <v>14</v>
      </c>
      <c r="F10" s="89">
        <v>18</v>
      </c>
      <c r="G10" s="89">
        <v>6</v>
      </c>
      <c r="H10" s="90">
        <f>F10-G10</f>
        <v>12</v>
      </c>
      <c r="I10" s="91">
        <f>E10/F10*100</f>
        <v>77.777777777777786</v>
      </c>
      <c r="J10" s="91">
        <f>(H10-MIN($H$3:$H$34))*100/(MAX($H$3:$H$34)-MIN($H$3:$H$34))</f>
        <v>13.698630136986301</v>
      </c>
      <c r="K10" s="91">
        <f>IF(AND(I10*0.7+J10*0.3&gt;100),100,I10*0.7+J10*0.3)</f>
        <v>58.554033485540337</v>
      </c>
    </row>
    <row r="11" spans="1:12" s="93" customFormat="1" ht="28.05" customHeight="1">
      <c r="A11" s="87">
        <v>9</v>
      </c>
      <c r="B11" s="88" t="s">
        <v>118</v>
      </c>
      <c r="C11" s="89">
        <v>458</v>
      </c>
      <c r="D11" s="89">
        <v>373</v>
      </c>
      <c r="E11" s="89">
        <v>85</v>
      </c>
      <c r="F11" s="89">
        <v>190</v>
      </c>
      <c r="G11" s="89">
        <v>126</v>
      </c>
      <c r="H11" s="90">
        <f>F11-G11</f>
        <v>64</v>
      </c>
      <c r="I11" s="91">
        <f>E11/F11*100</f>
        <v>44.736842105263158</v>
      </c>
      <c r="J11" s="91">
        <f>(H11-MIN($H$3:$H$34))*100/(MAX($H$3:$H$34)-MIN($H$3:$H$34))</f>
        <v>84.93150684931507</v>
      </c>
      <c r="K11" s="91">
        <f>IF(AND(I11*0.7+J11*0.3&gt;100),100,I11*0.7+J11*0.3)</f>
        <v>56.795241528478726</v>
      </c>
    </row>
    <row r="12" spans="1:12" s="93" customFormat="1" ht="28.05" customHeight="1">
      <c r="A12" s="87">
        <v>10</v>
      </c>
      <c r="B12" s="88" t="s">
        <v>119</v>
      </c>
      <c r="C12" s="89">
        <v>22</v>
      </c>
      <c r="D12" s="89">
        <v>14</v>
      </c>
      <c r="E12" s="89">
        <v>8</v>
      </c>
      <c r="F12" s="89">
        <v>10</v>
      </c>
      <c r="G12" s="89">
        <v>8</v>
      </c>
      <c r="H12" s="90">
        <f>F12-G12</f>
        <v>2</v>
      </c>
      <c r="I12" s="91">
        <f>E12/F12*100</f>
        <v>80</v>
      </c>
      <c r="J12" s="91">
        <f>(H12-MIN($H$3:$H$34))*100/(MAX($H$3:$H$34)-MIN($H$3:$H$34))</f>
        <v>0</v>
      </c>
      <c r="K12" s="91">
        <f>IF(AND(I12*0.7+J12*0.3&gt;100),100,I12*0.7+J12*0.3)</f>
        <v>56</v>
      </c>
    </row>
    <row r="13" spans="1:12" s="93" customFormat="1" ht="28.05" customHeight="1">
      <c r="A13" s="87">
        <v>11</v>
      </c>
      <c r="B13" s="88" t="s">
        <v>120</v>
      </c>
      <c r="C13" s="89">
        <v>15</v>
      </c>
      <c r="D13" s="89">
        <v>8</v>
      </c>
      <c r="E13" s="89">
        <v>7</v>
      </c>
      <c r="F13" s="89">
        <v>9</v>
      </c>
      <c r="G13" s="89">
        <v>4</v>
      </c>
      <c r="H13" s="90">
        <f>F13-G13</f>
        <v>5</v>
      </c>
      <c r="I13" s="91">
        <f>E13/F13*100</f>
        <v>77.777777777777786</v>
      </c>
      <c r="J13" s="91">
        <f>(H13-MIN($H$3:$H$34))*100/(MAX($H$3:$H$34)-MIN($H$3:$H$34))</f>
        <v>4.1095890410958908</v>
      </c>
      <c r="K13" s="91">
        <f>IF(AND(I13*0.7+J13*0.3&gt;100),100,I13*0.7+J13*0.3)</f>
        <v>55.677321156773218</v>
      </c>
    </row>
    <row r="14" spans="1:12" s="93" customFormat="1" ht="28.05" customHeight="1">
      <c r="A14" s="87">
        <v>12</v>
      </c>
      <c r="B14" s="88" t="s">
        <v>121</v>
      </c>
      <c r="C14" s="89">
        <v>52</v>
      </c>
      <c r="D14" s="89">
        <v>30</v>
      </c>
      <c r="E14" s="89">
        <v>22</v>
      </c>
      <c r="F14" s="89">
        <v>32</v>
      </c>
      <c r="G14" s="89">
        <v>14</v>
      </c>
      <c r="H14" s="90">
        <f>F14-G14</f>
        <v>18</v>
      </c>
      <c r="I14" s="91">
        <f>E14/F14*100</f>
        <v>68.75</v>
      </c>
      <c r="J14" s="91">
        <f>(H14-MIN($H$3:$H$34))*100/(MAX($H$3:$H$34)-MIN($H$3:$H$34))</f>
        <v>21.917808219178081</v>
      </c>
      <c r="K14" s="91">
        <f>IF(AND(I14*0.7+J14*0.3&gt;100),100,I14*0.7+J14*0.3)</f>
        <v>54.700342465753423</v>
      </c>
    </row>
    <row r="15" spans="1:12" s="93" customFormat="1" ht="28.05" customHeight="1">
      <c r="A15" s="87">
        <v>13</v>
      </c>
      <c r="B15" s="88" t="s">
        <v>122</v>
      </c>
      <c r="C15" s="89">
        <v>61</v>
      </c>
      <c r="D15" s="89">
        <v>36</v>
      </c>
      <c r="E15" s="89">
        <v>25</v>
      </c>
      <c r="F15" s="89">
        <v>39</v>
      </c>
      <c r="G15" s="89">
        <v>16</v>
      </c>
      <c r="H15" s="90">
        <f>F15-G15</f>
        <v>23</v>
      </c>
      <c r="I15" s="91">
        <f>E15/F15*100</f>
        <v>64.102564102564102</v>
      </c>
      <c r="J15" s="91">
        <f>(H15-MIN($H$3:$H$34))*100/(MAX($H$3:$H$34)-MIN($H$3:$H$34))</f>
        <v>28.767123287671232</v>
      </c>
      <c r="K15" s="91">
        <f>IF(AND(I15*0.7+J15*0.3&gt;100),100,I15*0.7+J15*0.3)</f>
        <v>53.501931858096242</v>
      </c>
    </row>
    <row r="16" spans="1:12" s="93" customFormat="1" ht="28.05" customHeight="1">
      <c r="A16" s="87">
        <v>14</v>
      </c>
      <c r="B16" s="88" t="s">
        <v>123</v>
      </c>
      <c r="C16" s="89">
        <v>240</v>
      </c>
      <c r="D16" s="89">
        <v>183</v>
      </c>
      <c r="E16" s="89">
        <v>57</v>
      </c>
      <c r="F16" s="89">
        <v>118</v>
      </c>
      <c r="G16" s="89">
        <v>69</v>
      </c>
      <c r="H16" s="90">
        <f>F16-G16</f>
        <v>49</v>
      </c>
      <c r="I16" s="91">
        <f>E16/F16*100</f>
        <v>48.305084745762713</v>
      </c>
      <c r="J16" s="91">
        <f>(H16-MIN($H$3:$H$34))*100/(MAX($H$3:$H$34)-MIN($H$3:$H$34))</f>
        <v>64.38356164383562</v>
      </c>
      <c r="K16" s="91">
        <f>IF(AND(I16*0.7+J16*0.3&gt;100),100,I16*0.7+J16*0.3)</f>
        <v>53.128627815184586</v>
      </c>
    </row>
    <row r="17" spans="1:11" s="93" customFormat="1" ht="28.05" customHeight="1">
      <c r="A17" s="87">
        <v>15</v>
      </c>
      <c r="B17" s="88" t="s">
        <v>124</v>
      </c>
      <c r="C17" s="89">
        <v>178</v>
      </c>
      <c r="D17" s="89">
        <v>131</v>
      </c>
      <c r="E17" s="89">
        <v>47</v>
      </c>
      <c r="F17" s="89">
        <v>86</v>
      </c>
      <c r="G17" s="89">
        <v>49</v>
      </c>
      <c r="H17" s="90">
        <f>F17-G17</f>
        <v>37</v>
      </c>
      <c r="I17" s="91">
        <f>E17/F17*100</f>
        <v>54.651162790697668</v>
      </c>
      <c r="J17" s="91">
        <f>(H17-MIN($H$3:$H$34))*100/(MAX($H$3:$H$34)-MIN($H$3:$H$34))</f>
        <v>47.945205479452056</v>
      </c>
      <c r="K17" s="91">
        <f>IF(AND(I17*0.7+J17*0.3&gt;100),100,I17*0.7+J17*0.3)</f>
        <v>52.639375597323976</v>
      </c>
    </row>
    <row r="18" spans="1:11" s="93" customFormat="1" ht="28.05" customHeight="1">
      <c r="A18" s="87">
        <v>16</v>
      </c>
      <c r="B18" s="88" t="s">
        <v>125</v>
      </c>
      <c r="C18" s="89">
        <v>67</v>
      </c>
      <c r="D18" s="89">
        <v>44</v>
      </c>
      <c r="E18" s="89">
        <v>23</v>
      </c>
      <c r="F18" s="89">
        <v>35</v>
      </c>
      <c r="G18" s="89">
        <v>17</v>
      </c>
      <c r="H18" s="90">
        <f>F18-G18</f>
        <v>18</v>
      </c>
      <c r="I18" s="91">
        <f>E18/F18*100</f>
        <v>65.714285714285708</v>
      </c>
      <c r="J18" s="91">
        <f>(H18-MIN($H$3:$H$34))*100/(MAX($H$3:$H$34)-MIN($H$3:$H$34))</f>
        <v>21.917808219178081</v>
      </c>
      <c r="K18" s="91">
        <f>IF(AND(I18*0.7+J18*0.3&gt;100),100,I18*0.7+J18*0.3)</f>
        <v>52.575342465753415</v>
      </c>
    </row>
    <row r="19" spans="1:11" s="93" customFormat="1" ht="28.05" customHeight="1">
      <c r="A19" s="87">
        <v>17</v>
      </c>
      <c r="B19" s="88" t="s">
        <v>126</v>
      </c>
      <c r="C19" s="89">
        <v>22</v>
      </c>
      <c r="D19" s="89">
        <v>12</v>
      </c>
      <c r="E19" s="89">
        <v>10</v>
      </c>
      <c r="F19" s="89">
        <v>14</v>
      </c>
      <c r="G19" s="89">
        <v>6</v>
      </c>
      <c r="H19" s="90">
        <f>F19-G19</f>
        <v>8</v>
      </c>
      <c r="I19" s="91">
        <f>E19/F19*100</f>
        <v>71.428571428571431</v>
      </c>
      <c r="J19" s="91">
        <f>(H19-MIN($H$3:$H$34))*100/(MAX($H$3:$H$34)-MIN($H$3:$H$34))</f>
        <v>8.2191780821917817</v>
      </c>
      <c r="K19" s="91">
        <f>IF(AND(I19*0.7+J19*0.3&gt;100),100,I19*0.7+J19*0.3)</f>
        <v>52.465753424657535</v>
      </c>
    </row>
    <row r="20" spans="1:11" s="93" customFormat="1" ht="28.05" customHeight="1">
      <c r="A20" s="87">
        <v>18</v>
      </c>
      <c r="B20" s="88" t="s">
        <v>127</v>
      </c>
      <c r="C20" s="89">
        <v>67</v>
      </c>
      <c r="D20" s="89">
        <v>40</v>
      </c>
      <c r="E20" s="89">
        <v>27</v>
      </c>
      <c r="F20" s="89">
        <v>43</v>
      </c>
      <c r="G20" s="89">
        <v>27</v>
      </c>
      <c r="H20" s="90">
        <f>F20-G20</f>
        <v>16</v>
      </c>
      <c r="I20" s="91">
        <f>E20/F20*100</f>
        <v>62.790697674418603</v>
      </c>
      <c r="J20" s="91">
        <f>(H20-MIN($H$3:$H$34))*100/(MAX($H$3:$H$34)-MIN($H$3:$H$34))</f>
        <v>19.17808219178082</v>
      </c>
      <c r="K20" s="91">
        <f>IF(AND(I20*0.7+J20*0.3&gt;100),100,I20*0.7+J20*0.3)</f>
        <v>49.706913029627266</v>
      </c>
    </row>
    <row r="21" spans="1:11" s="93" customFormat="1" ht="28.05" customHeight="1">
      <c r="A21" s="87">
        <v>19</v>
      </c>
      <c r="B21" s="88" t="s">
        <v>128</v>
      </c>
      <c r="C21" s="89">
        <v>67</v>
      </c>
      <c r="D21" s="89">
        <v>52</v>
      </c>
      <c r="E21" s="89">
        <v>15</v>
      </c>
      <c r="F21" s="89">
        <v>26</v>
      </c>
      <c r="G21" s="89">
        <v>15</v>
      </c>
      <c r="H21" s="90">
        <f>F21-G21</f>
        <v>11</v>
      </c>
      <c r="I21" s="91">
        <f>E21/F21*100</f>
        <v>57.692307692307686</v>
      </c>
      <c r="J21" s="91">
        <f>(H21-MIN($H$3:$H$34))*100/(MAX($H$3:$H$34)-MIN($H$3:$H$34))</f>
        <v>12.328767123287671</v>
      </c>
      <c r="K21" s="91">
        <f>IF(AND(I21*0.7+J21*0.3&gt;100),100,I21*0.7+J21*0.3)</f>
        <v>44.083245521601683</v>
      </c>
    </row>
    <row r="22" spans="1:11" s="93" customFormat="1" ht="28.05" customHeight="1">
      <c r="A22" s="87">
        <v>20</v>
      </c>
      <c r="B22" s="88" t="s">
        <v>129</v>
      </c>
      <c r="C22" s="89">
        <v>46</v>
      </c>
      <c r="D22" s="89">
        <v>34</v>
      </c>
      <c r="E22" s="89">
        <v>12</v>
      </c>
      <c r="F22" s="89">
        <v>21</v>
      </c>
      <c r="G22" s="89">
        <v>11</v>
      </c>
      <c r="H22" s="90">
        <f>F22-G22</f>
        <v>10</v>
      </c>
      <c r="I22" s="91">
        <f>E22/F22*100</f>
        <v>57.142857142857139</v>
      </c>
      <c r="J22" s="91">
        <f>(H22-MIN($H$3:$H$34))*100/(MAX($H$3:$H$34)-MIN($H$3:$H$34))</f>
        <v>10.95890410958904</v>
      </c>
      <c r="K22" s="91">
        <f>IF(AND(I22*0.7+J22*0.3&gt;100),100,I22*0.7+J22*0.3)</f>
        <v>43.287671232876704</v>
      </c>
    </row>
    <row r="23" spans="1:11" s="93" customFormat="1" ht="28.05" customHeight="1">
      <c r="A23" s="87">
        <v>21</v>
      </c>
      <c r="B23" s="88" t="s">
        <v>130</v>
      </c>
      <c r="C23" s="89">
        <v>157</v>
      </c>
      <c r="D23" s="89">
        <v>119</v>
      </c>
      <c r="E23" s="89">
        <v>38</v>
      </c>
      <c r="F23" s="89">
        <v>88</v>
      </c>
      <c r="G23" s="89">
        <v>56</v>
      </c>
      <c r="H23" s="90">
        <f>F23-G23</f>
        <v>32</v>
      </c>
      <c r="I23" s="91">
        <f>E23/F23*100</f>
        <v>43.18181818181818</v>
      </c>
      <c r="J23" s="91">
        <f>(H23-MIN($H$3:$H$34))*100/(MAX($H$3:$H$34)-MIN($H$3:$H$34))</f>
        <v>41.095890410958901</v>
      </c>
      <c r="K23" s="91">
        <f>IF(AND(I23*0.7+J23*0.3&gt;100),100,I23*0.7+J23*0.3)</f>
        <v>42.556039850560396</v>
      </c>
    </row>
    <row r="24" spans="1:11" s="93" customFormat="1" ht="28.05" customHeight="1">
      <c r="A24" s="87">
        <v>22</v>
      </c>
      <c r="B24" s="88" t="s">
        <v>131</v>
      </c>
      <c r="C24" s="89">
        <v>37</v>
      </c>
      <c r="D24" s="89">
        <v>24</v>
      </c>
      <c r="E24" s="89">
        <v>13</v>
      </c>
      <c r="F24" s="89">
        <v>23</v>
      </c>
      <c r="G24" s="89">
        <v>17</v>
      </c>
      <c r="H24" s="90">
        <f>F24-G24</f>
        <v>6</v>
      </c>
      <c r="I24" s="91">
        <f>E24/F24*100</f>
        <v>56.521739130434781</v>
      </c>
      <c r="J24" s="91">
        <f>(H24-MIN($H$3:$H$34))*100/(MAX($H$3:$H$34)-MIN($H$3:$H$34))</f>
        <v>5.4794520547945202</v>
      </c>
      <c r="K24" s="91">
        <f>IF(AND(I24*0.7+J24*0.3&gt;100),100,I24*0.7+J24*0.3)</f>
        <v>41.209053007742703</v>
      </c>
    </row>
    <row r="25" spans="1:11" s="93" customFormat="1" ht="28.05" customHeight="1">
      <c r="A25" s="87">
        <v>23</v>
      </c>
      <c r="B25" s="88" t="s">
        <v>132</v>
      </c>
      <c r="C25" s="89">
        <v>32</v>
      </c>
      <c r="D25" s="89">
        <v>24</v>
      </c>
      <c r="E25" s="89">
        <v>8</v>
      </c>
      <c r="F25" s="89">
        <v>14</v>
      </c>
      <c r="G25" s="89">
        <v>10</v>
      </c>
      <c r="H25" s="90">
        <f>F25-G25</f>
        <v>4</v>
      </c>
      <c r="I25" s="91">
        <f>E25/F25*100</f>
        <v>57.142857142857139</v>
      </c>
      <c r="J25" s="91">
        <f>(H25-MIN($H$3:$H$34))*100/(MAX($H$3:$H$34)-MIN($H$3:$H$34))</f>
        <v>2.7397260273972601</v>
      </c>
      <c r="K25" s="91">
        <f>IF(AND(I25*0.7+J25*0.3&gt;100),100,I25*0.7+J25*0.3)</f>
        <v>40.821917808219169</v>
      </c>
    </row>
    <row r="26" spans="1:11" s="93" customFormat="1" ht="28.05" customHeight="1">
      <c r="A26" s="87">
        <v>24</v>
      </c>
      <c r="B26" s="88" t="s">
        <v>133</v>
      </c>
      <c r="C26" s="89">
        <v>13</v>
      </c>
      <c r="D26" s="89">
        <v>7</v>
      </c>
      <c r="E26" s="89">
        <v>6</v>
      </c>
      <c r="F26" s="89">
        <v>11</v>
      </c>
      <c r="G26" s="89">
        <v>5</v>
      </c>
      <c r="H26" s="90">
        <f>F26-G26</f>
        <v>6</v>
      </c>
      <c r="I26" s="91">
        <f>E26/F26*100</f>
        <v>54.54545454545454</v>
      </c>
      <c r="J26" s="91">
        <f>(H26-MIN($H$3:$H$34))*100/(MAX($H$3:$H$34)-MIN($H$3:$H$34))</f>
        <v>5.4794520547945202</v>
      </c>
      <c r="K26" s="91">
        <f>IF(AND(I26*0.7+J26*0.3&gt;100),100,I26*0.7+J26*0.3)</f>
        <v>39.825653798256532</v>
      </c>
    </row>
    <row r="27" spans="1:11" s="93" customFormat="1" ht="28.05" customHeight="1">
      <c r="A27" s="87">
        <v>25</v>
      </c>
      <c r="B27" s="88" t="s">
        <v>134</v>
      </c>
      <c r="C27" s="89">
        <v>42</v>
      </c>
      <c r="D27" s="89">
        <v>28</v>
      </c>
      <c r="E27" s="89">
        <v>14</v>
      </c>
      <c r="F27" s="89">
        <v>28</v>
      </c>
      <c r="G27" s="89">
        <v>15</v>
      </c>
      <c r="H27" s="90">
        <f>F27-G27</f>
        <v>13</v>
      </c>
      <c r="I27" s="91">
        <f>E27/F27*100</f>
        <v>50</v>
      </c>
      <c r="J27" s="91">
        <f>(H27-MIN($H$3:$H$34))*100/(MAX($H$3:$H$34)-MIN($H$3:$H$34))</f>
        <v>15.068493150684931</v>
      </c>
      <c r="K27" s="91">
        <f>IF(AND(I27*0.7+J27*0.3&gt;100),100,I27*0.7+J27*0.3)</f>
        <v>39.520547945205479</v>
      </c>
    </row>
    <row r="28" spans="1:11" s="93" customFormat="1" ht="28.05" customHeight="1">
      <c r="A28" s="87">
        <v>26</v>
      </c>
      <c r="B28" s="88" t="s">
        <v>135</v>
      </c>
      <c r="C28" s="89">
        <v>28</v>
      </c>
      <c r="D28" s="89">
        <v>20</v>
      </c>
      <c r="E28" s="89">
        <v>8</v>
      </c>
      <c r="F28" s="89">
        <v>16</v>
      </c>
      <c r="G28" s="89">
        <v>8</v>
      </c>
      <c r="H28" s="90">
        <f>F28-G28</f>
        <v>8</v>
      </c>
      <c r="I28" s="91">
        <f>E28/F28*100</f>
        <v>50</v>
      </c>
      <c r="J28" s="91">
        <f>(H28-MIN($H$3:$H$34))*100/(MAX($H$3:$H$34)-MIN($H$3:$H$34))</f>
        <v>8.2191780821917817</v>
      </c>
      <c r="K28" s="91">
        <f>IF(AND(I28*0.7+J28*0.3&gt;100),100,I28*0.7+J28*0.3)</f>
        <v>37.465753424657535</v>
      </c>
    </row>
    <row r="29" spans="1:11" s="93" customFormat="1" ht="28.05" customHeight="1">
      <c r="A29" s="87">
        <v>27</v>
      </c>
      <c r="B29" s="88" t="s">
        <v>136</v>
      </c>
      <c r="C29" s="89">
        <v>27</v>
      </c>
      <c r="D29" s="89">
        <v>20</v>
      </c>
      <c r="E29" s="89">
        <v>7</v>
      </c>
      <c r="F29" s="89">
        <v>14</v>
      </c>
      <c r="G29" s="89">
        <v>8</v>
      </c>
      <c r="H29" s="90">
        <f>F29-G29</f>
        <v>6</v>
      </c>
      <c r="I29" s="91">
        <f>E29/F29*100</f>
        <v>50</v>
      </c>
      <c r="J29" s="91">
        <f>(H29-MIN($H$3:$H$34))*100/(MAX($H$3:$H$34)-MIN($H$3:$H$34))</f>
        <v>5.4794520547945202</v>
      </c>
      <c r="K29" s="91">
        <f>IF(AND(I29*0.7+J29*0.3&gt;100),100,I29*0.7+J29*0.3)</f>
        <v>36.643835616438359</v>
      </c>
    </row>
    <row r="30" spans="1:11" s="93" customFormat="1" ht="28.05" customHeight="1">
      <c r="A30" s="87">
        <v>28</v>
      </c>
      <c r="B30" s="88" t="s">
        <v>137</v>
      </c>
      <c r="C30" s="89">
        <v>47</v>
      </c>
      <c r="D30" s="89">
        <v>35</v>
      </c>
      <c r="E30" s="89">
        <v>12</v>
      </c>
      <c r="F30" s="89">
        <v>26</v>
      </c>
      <c r="G30" s="89">
        <v>19</v>
      </c>
      <c r="H30" s="90">
        <f>F30-G30</f>
        <v>7</v>
      </c>
      <c r="I30" s="91">
        <f>E30/F30*100</f>
        <v>46.153846153846153</v>
      </c>
      <c r="J30" s="91">
        <f>(H30-MIN($H$3:$H$34))*100/(MAX($H$3:$H$34)-MIN($H$3:$H$34))</f>
        <v>6.8493150684931505</v>
      </c>
      <c r="K30" s="94">
        <f>IF(AND(I30*0.7+J30*0.3&gt;100),100,I30*0.7+J30*0.3)</f>
        <v>34.36248682824025</v>
      </c>
    </row>
    <row r="31" spans="1:11" s="93" customFormat="1" ht="28.05" customHeight="1">
      <c r="A31" s="87">
        <v>29</v>
      </c>
      <c r="B31" s="88" t="s">
        <v>138</v>
      </c>
      <c r="C31" s="89">
        <v>25</v>
      </c>
      <c r="D31" s="89">
        <v>19</v>
      </c>
      <c r="E31" s="89">
        <v>6</v>
      </c>
      <c r="F31" s="89">
        <v>14</v>
      </c>
      <c r="G31" s="89">
        <v>8</v>
      </c>
      <c r="H31" s="90">
        <f>F31-G31</f>
        <v>6</v>
      </c>
      <c r="I31" s="91">
        <f>E31/F31*100</f>
        <v>42.857142857142854</v>
      </c>
      <c r="J31" s="91">
        <f>(H31-MIN($H$3:$H$34))*100/(MAX($H$3:$H$34)-MIN($H$3:$H$34))</f>
        <v>5.4794520547945202</v>
      </c>
      <c r="K31" s="94">
        <f>IF(AND(I31*0.7+J31*0.3&gt;100),100,I31*0.7+J31*0.3)</f>
        <v>31.643835616438352</v>
      </c>
    </row>
    <row r="32" spans="1:11" s="93" customFormat="1" ht="28.05" customHeight="1">
      <c r="A32" s="87">
        <v>30</v>
      </c>
      <c r="B32" s="88" t="s">
        <v>139</v>
      </c>
      <c r="C32" s="89">
        <v>59</v>
      </c>
      <c r="D32" s="89">
        <v>47</v>
      </c>
      <c r="E32" s="89">
        <v>12</v>
      </c>
      <c r="F32" s="89">
        <v>30</v>
      </c>
      <c r="G32" s="89">
        <v>20</v>
      </c>
      <c r="H32" s="90">
        <f>F32-G32</f>
        <v>10</v>
      </c>
      <c r="I32" s="91">
        <f>E32/F32*100</f>
        <v>40</v>
      </c>
      <c r="J32" s="91">
        <f>(H32-MIN($H$3:$H$34))*100/(MAX($H$3:$H$34)-MIN($H$3:$H$34))</f>
        <v>10.95890410958904</v>
      </c>
      <c r="K32" s="94">
        <f>IF(AND(I32*0.7+J32*0.3&gt;100),100,I32*0.7+J32*0.3)</f>
        <v>31.287671232876711</v>
      </c>
    </row>
    <row r="33" spans="1:11" s="93" customFormat="1" ht="28.05" customHeight="1">
      <c r="A33" s="87">
        <v>31</v>
      </c>
      <c r="B33" s="88" t="s">
        <v>140</v>
      </c>
      <c r="C33" s="89">
        <v>63</v>
      </c>
      <c r="D33" s="89">
        <v>54</v>
      </c>
      <c r="E33" s="89">
        <v>9</v>
      </c>
      <c r="F33" s="89">
        <v>22</v>
      </c>
      <c r="G33" s="89">
        <v>14</v>
      </c>
      <c r="H33" s="90">
        <f>F33-G33</f>
        <v>8</v>
      </c>
      <c r="I33" s="91">
        <f>E33/F33*100</f>
        <v>40.909090909090914</v>
      </c>
      <c r="J33" s="91">
        <f>(H33-MIN($H$3:$H$34))*100/(MAX($H$3:$H$34)-MIN($H$3:$H$34))</f>
        <v>8.2191780821917817</v>
      </c>
      <c r="K33" s="94">
        <f>IF(AND(I33*0.7+J33*0.3&gt;100),100,I33*0.7+J33*0.3)</f>
        <v>31.102117061021172</v>
      </c>
    </row>
    <row r="34" spans="1:11" s="93" customFormat="1" ht="28.05" customHeight="1">
      <c r="A34" s="87">
        <v>32</v>
      </c>
      <c r="B34" s="88" t="s">
        <v>141</v>
      </c>
      <c r="C34" s="89">
        <v>59</v>
      </c>
      <c r="D34" s="89">
        <v>50</v>
      </c>
      <c r="E34" s="89">
        <v>9</v>
      </c>
      <c r="F34" s="89">
        <v>35</v>
      </c>
      <c r="G34" s="89">
        <v>30</v>
      </c>
      <c r="H34" s="90">
        <f>F34-G34</f>
        <v>5</v>
      </c>
      <c r="I34" s="91">
        <f>E34/F34*100</f>
        <v>25.714285714285712</v>
      </c>
      <c r="J34" s="91">
        <f>(H34-MIN($H$3:$H$34))*100/(MAX($H$3:$H$34)-MIN($H$3:$H$34))</f>
        <v>4.1095890410958908</v>
      </c>
      <c r="K34" s="94">
        <f>IF(AND(I34*0.7+J34*0.3&gt;100),100,I34*0.7+J34*0.3)</f>
        <v>19.232876712328764</v>
      </c>
    </row>
    <row r="35" spans="1:11">
      <c r="B35" s="96"/>
      <c r="C35" s="97"/>
      <c r="D35" s="97"/>
      <c r="E35" s="97"/>
      <c r="F35" s="97"/>
      <c r="G35" s="97"/>
      <c r="H35" s="97"/>
      <c r="I35" s="98"/>
      <c r="J35" s="98"/>
      <c r="K35" s="97"/>
    </row>
    <row r="36" spans="1:11">
      <c r="B36" s="96"/>
      <c r="C36" s="97"/>
      <c r="D36" s="97"/>
      <c r="E36" s="97"/>
      <c r="F36" s="97"/>
      <c r="G36" s="97"/>
      <c r="H36" s="97"/>
      <c r="I36" s="98"/>
      <c r="J36" s="98"/>
      <c r="K36" s="97"/>
    </row>
    <row r="37" spans="1:11">
      <c r="B37" s="96"/>
      <c r="C37" s="97"/>
      <c r="D37" s="97"/>
      <c r="E37" s="97"/>
      <c r="F37" s="97"/>
      <c r="G37" s="97"/>
      <c r="H37" s="97"/>
      <c r="I37" s="98"/>
      <c r="J37" s="98"/>
      <c r="K37" s="97"/>
    </row>
    <row r="38" spans="1:11">
      <c r="B38" s="96"/>
      <c r="C38" s="97"/>
      <c r="D38" s="97"/>
      <c r="E38" s="97"/>
      <c r="F38" s="97"/>
      <c r="G38" s="97"/>
      <c r="H38" s="97"/>
      <c r="I38" s="98"/>
      <c r="J38" s="98"/>
      <c r="K38" s="97"/>
    </row>
    <row r="39" spans="1:11">
      <c r="B39" s="96"/>
      <c r="C39" s="97"/>
      <c r="D39" s="97"/>
      <c r="E39" s="97"/>
      <c r="F39" s="97"/>
      <c r="G39" s="97"/>
      <c r="H39" s="97"/>
      <c r="I39" s="98"/>
      <c r="J39" s="98"/>
      <c r="K39" s="97"/>
    </row>
    <row r="40" spans="1:11">
      <c r="B40" s="96"/>
      <c r="C40" s="97"/>
      <c r="D40" s="97"/>
      <c r="E40" s="97"/>
      <c r="F40" s="97"/>
      <c r="G40" s="97"/>
      <c r="H40" s="97"/>
      <c r="I40" s="98"/>
      <c r="J40" s="98"/>
      <c r="K40" s="97"/>
    </row>
    <row r="41" spans="1:11">
      <c r="B41" s="96"/>
      <c r="C41" s="97"/>
      <c r="D41" s="97"/>
      <c r="E41" s="97"/>
      <c r="F41" s="97"/>
      <c r="G41" s="97"/>
      <c r="H41" s="97"/>
      <c r="I41" s="98"/>
      <c r="J41" s="98"/>
      <c r="K41" s="97"/>
    </row>
    <row r="42" spans="1:11">
      <c r="B42" s="96"/>
      <c r="C42" s="97"/>
      <c r="D42" s="97"/>
      <c r="E42" s="97"/>
      <c r="F42" s="97"/>
      <c r="G42" s="97"/>
      <c r="H42" s="97"/>
      <c r="I42" s="98"/>
      <c r="J42" s="98"/>
      <c r="K42" s="97"/>
    </row>
    <row r="43" spans="1:11">
      <c r="B43" s="96"/>
      <c r="C43" s="97"/>
      <c r="D43" s="97"/>
      <c r="E43" s="97"/>
      <c r="F43" s="97"/>
      <c r="G43" s="97"/>
      <c r="H43" s="97"/>
      <c r="I43" s="98"/>
      <c r="J43" s="98"/>
      <c r="K43" s="97"/>
    </row>
    <row r="44" spans="1:11">
      <c r="B44" s="96"/>
      <c r="C44" s="97"/>
      <c r="D44" s="97"/>
      <c r="E44" s="97"/>
      <c r="F44" s="97"/>
      <c r="G44" s="97"/>
      <c r="H44" s="97"/>
      <c r="I44" s="98"/>
      <c r="J44" s="98"/>
      <c r="K44" s="97"/>
    </row>
    <row r="45" spans="1:11">
      <c r="B45" s="96"/>
      <c r="C45" s="97"/>
      <c r="D45" s="97"/>
      <c r="E45" s="97"/>
      <c r="F45" s="97"/>
      <c r="G45" s="97"/>
      <c r="H45" s="97"/>
      <c r="I45" s="98"/>
      <c r="J45" s="98"/>
      <c r="K45" s="97"/>
    </row>
    <row r="46" spans="1:11">
      <c r="B46" s="96"/>
      <c r="C46" s="97"/>
      <c r="D46" s="97"/>
      <c r="E46" s="97"/>
      <c r="F46" s="97"/>
      <c r="G46" s="97"/>
      <c r="H46" s="97"/>
      <c r="I46" s="98"/>
      <c r="J46" s="98"/>
      <c r="K46" s="97"/>
    </row>
    <row r="47" spans="1:11">
      <c r="B47" s="96"/>
      <c r="C47" s="97"/>
      <c r="D47" s="97"/>
      <c r="E47" s="97"/>
      <c r="F47" s="97"/>
      <c r="G47" s="97"/>
      <c r="H47" s="97"/>
      <c r="I47" s="98"/>
      <c r="J47" s="98"/>
      <c r="K47" s="97"/>
    </row>
    <row r="48" spans="1:11">
      <c r="B48" s="96"/>
      <c r="C48" s="97"/>
      <c r="D48" s="97"/>
      <c r="E48" s="97"/>
      <c r="F48" s="97"/>
      <c r="G48" s="97"/>
      <c r="H48" s="97"/>
      <c r="I48" s="98"/>
      <c r="J48" s="98"/>
      <c r="K48" s="97"/>
    </row>
    <row r="49" spans="2:11">
      <c r="B49" s="96"/>
      <c r="C49" s="97"/>
      <c r="D49" s="97"/>
      <c r="E49" s="97"/>
      <c r="F49" s="97"/>
      <c r="G49" s="97"/>
      <c r="H49" s="97"/>
      <c r="I49" s="98"/>
      <c r="J49" s="98"/>
      <c r="K49" s="97"/>
    </row>
    <row r="50" spans="2:11">
      <c r="B50" s="96"/>
      <c r="C50" s="97"/>
      <c r="D50" s="97"/>
      <c r="E50" s="97"/>
      <c r="F50" s="97"/>
      <c r="G50" s="97"/>
      <c r="H50" s="97"/>
      <c r="I50" s="98"/>
      <c r="J50" s="98"/>
      <c r="K50" s="97"/>
    </row>
    <row r="51" spans="2:11">
      <c r="B51" s="96"/>
      <c r="C51" s="97"/>
      <c r="D51" s="97"/>
      <c r="E51" s="97"/>
      <c r="F51" s="97"/>
      <c r="G51" s="97"/>
      <c r="H51" s="97"/>
      <c r="I51" s="98"/>
      <c r="J51" s="98"/>
      <c r="K51" s="97"/>
    </row>
    <row r="52" spans="2:11">
      <c r="B52" s="96"/>
      <c r="C52" s="97"/>
      <c r="D52" s="97"/>
      <c r="E52" s="97"/>
      <c r="F52" s="97"/>
      <c r="G52" s="97"/>
      <c r="H52" s="97"/>
      <c r="I52" s="98"/>
      <c r="J52" s="98"/>
      <c r="K52" s="97"/>
    </row>
    <row r="53" spans="2:11">
      <c r="B53" s="96"/>
      <c r="C53" s="97"/>
      <c r="D53" s="97"/>
      <c r="E53" s="97"/>
      <c r="F53" s="97"/>
      <c r="G53" s="97"/>
      <c r="H53" s="97"/>
      <c r="I53" s="98"/>
      <c r="J53" s="98"/>
      <c r="K53" s="97"/>
    </row>
    <row r="54" spans="2:11">
      <c r="B54" s="96"/>
      <c r="C54" s="97"/>
      <c r="D54" s="97"/>
      <c r="E54" s="97"/>
      <c r="F54" s="97"/>
      <c r="G54" s="97"/>
      <c r="H54" s="97"/>
      <c r="I54" s="98"/>
      <c r="J54" s="98"/>
      <c r="K54" s="97"/>
    </row>
    <row r="55" spans="2:11">
      <c r="B55" s="96"/>
      <c r="C55" s="97"/>
      <c r="D55" s="97"/>
      <c r="E55" s="97"/>
      <c r="F55" s="97"/>
      <c r="G55" s="97"/>
      <c r="H55" s="97"/>
      <c r="I55" s="98"/>
      <c r="J55" s="98"/>
      <c r="K55" s="97"/>
    </row>
    <row r="56" spans="2:11">
      <c r="B56" s="96"/>
      <c r="C56" s="97"/>
      <c r="D56" s="97"/>
      <c r="E56" s="97"/>
      <c r="F56" s="97"/>
      <c r="G56" s="97"/>
      <c r="H56" s="97"/>
      <c r="I56" s="98"/>
      <c r="J56" s="98"/>
      <c r="K56" s="97"/>
    </row>
    <row r="57" spans="2:11">
      <c r="B57" s="96"/>
      <c r="C57" s="97"/>
      <c r="D57" s="97"/>
      <c r="E57" s="97"/>
      <c r="F57" s="97"/>
      <c r="G57" s="97"/>
      <c r="H57" s="97"/>
      <c r="I57" s="98"/>
      <c r="J57" s="98"/>
      <c r="K57" s="97"/>
    </row>
    <row r="58" spans="2:11">
      <c r="B58" s="96"/>
      <c r="C58" s="97"/>
      <c r="D58" s="97"/>
      <c r="E58" s="97"/>
      <c r="F58" s="97"/>
      <c r="G58" s="97"/>
      <c r="H58" s="97"/>
      <c r="I58" s="98"/>
      <c r="J58" s="98"/>
      <c r="K58" s="97"/>
    </row>
    <row r="59" spans="2:11">
      <c r="B59" s="96"/>
      <c r="C59" s="97"/>
      <c r="D59" s="97"/>
      <c r="E59" s="97"/>
      <c r="F59" s="97"/>
      <c r="G59" s="97"/>
      <c r="H59" s="97"/>
      <c r="I59" s="98"/>
      <c r="J59" s="98"/>
      <c r="K59" s="97"/>
    </row>
    <row r="60" spans="2:11">
      <c r="B60" s="96"/>
      <c r="C60" s="97"/>
      <c r="D60" s="97"/>
      <c r="E60" s="97"/>
      <c r="F60" s="97"/>
      <c r="G60" s="97"/>
      <c r="H60" s="97"/>
      <c r="I60" s="98"/>
      <c r="J60" s="98"/>
      <c r="K60" s="97"/>
    </row>
    <row r="61" spans="2:11">
      <c r="B61" s="96"/>
      <c r="C61" s="97"/>
      <c r="D61" s="97"/>
      <c r="E61" s="97"/>
      <c r="F61" s="97"/>
      <c r="G61" s="97"/>
      <c r="H61" s="97"/>
      <c r="I61" s="98"/>
      <c r="J61" s="98"/>
      <c r="K61" s="97"/>
    </row>
  </sheetData>
  <mergeCells count="1">
    <mergeCell ref="A1:K1"/>
  </mergeCells>
  <printOptions horizontalCentered="1"/>
  <pageMargins left="0.70866141732283472" right="0.70866141732283472" top="0.74803149606299213" bottom="0.74803149606299213" header="0.31496062992125984" footer="0.31496062992125984"/>
  <pageSetup paperSize="5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53655-FE7F-4BAC-9A98-9710A46A49B2}">
  <sheetPr codeName="Sheet7">
    <tabColor theme="1"/>
  </sheetPr>
  <dimension ref="A1:M37"/>
  <sheetViews>
    <sheetView workbookViewId="0">
      <selection activeCell="A2" sqref="A2"/>
    </sheetView>
  </sheetViews>
  <sheetFormatPr defaultRowHeight="14.4"/>
  <cols>
    <col min="1" max="1" width="6.5546875" customWidth="1"/>
    <col min="2" max="2" width="21.44140625" customWidth="1"/>
    <col min="3" max="3" width="10.33203125" customWidth="1"/>
    <col min="4" max="4" width="5.44140625" bestFit="1" customWidth="1"/>
    <col min="5" max="5" width="7.33203125" bestFit="1" customWidth="1"/>
    <col min="6" max="6" width="7.6640625" customWidth="1"/>
    <col min="7" max="7" width="5.33203125" bestFit="1" customWidth="1"/>
    <col min="8" max="8" width="6.109375" bestFit="1" customWidth="1"/>
    <col min="9" max="9" width="8" customWidth="1"/>
    <col min="10" max="11" width="8.6640625" customWidth="1"/>
    <col min="12" max="12" width="6.44140625" style="51" customWidth="1"/>
  </cols>
  <sheetData>
    <row r="1" spans="1:13" ht="24.6" customHeight="1">
      <c r="A1" s="101" t="str">
        <f ca="1">"PS WISE CCTNS FORMS ENTRY PENDING FOR THE CASES REGISTERED FROM "&amp;TEXT(DATE(2020,1,1),"dd-mm-yyyy")&amp;" TO "&amp;TEXT(TODAY()-1,"dd-mm-yyyy")</f>
        <v>PS WISE CCTNS FORMS ENTRY PENDING FOR THE CASES REGISTERED FROM 01-01-2020 TO 02-06-2026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3"/>
    </row>
    <row r="2" spans="1:13" ht="62.4">
      <c r="A2" s="104" t="s">
        <v>86</v>
      </c>
      <c r="B2" s="105" t="s">
        <v>142</v>
      </c>
      <c r="C2" s="106" t="s">
        <v>143</v>
      </c>
      <c r="D2" s="106" t="s">
        <v>89</v>
      </c>
      <c r="E2" s="106" t="s">
        <v>144</v>
      </c>
      <c r="F2" s="106" t="s">
        <v>145</v>
      </c>
      <c r="G2" s="106" t="s">
        <v>90</v>
      </c>
      <c r="H2" s="106" t="s">
        <v>146</v>
      </c>
      <c r="I2" s="106" t="s">
        <v>147</v>
      </c>
      <c r="J2" s="106" t="s">
        <v>148</v>
      </c>
      <c r="K2" s="106" t="s">
        <v>95</v>
      </c>
      <c r="L2" s="106" t="s">
        <v>149</v>
      </c>
      <c r="M2" s="107" t="s">
        <v>150</v>
      </c>
    </row>
    <row r="3" spans="1:13" s="112" customFormat="1" ht="25.05" customHeight="1">
      <c r="A3" s="108">
        <v>1</v>
      </c>
      <c r="B3" s="109" t="s">
        <v>48</v>
      </c>
      <c r="C3" s="110">
        <v>598</v>
      </c>
      <c r="D3" s="110">
        <v>572</v>
      </c>
      <c r="E3" s="110">
        <v>137</v>
      </c>
      <c r="F3" s="110">
        <v>110</v>
      </c>
      <c r="G3" s="110">
        <v>4</v>
      </c>
      <c r="H3" s="110">
        <v>4</v>
      </c>
      <c r="I3" s="110">
        <v>4</v>
      </c>
      <c r="J3" s="110">
        <v>10</v>
      </c>
      <c r="K3" s="110">
        <v>10</v>
      </c>
      <c r="L3" s="57">
        <v>9</v>
      </c>
      <c r="M3" s="111">
        <v>860</v>
      </c>
    </row>
    <row r="4" spans="1:13" s="112" customFormat="1" ht="25.05" customHeight="1">
      <c r="A4" s="108">
        <v>2</v>
      </c>
      <c r="B4" s="109" t="s">
        <v>61</v>
      </c>
      <c r="C4" s="110">
        <v>552</v>
      </c>
      <c r="D4" s="110">
        <v>549</v>
      </c>
      <c r="E4" s="110">
        <v>19</v>
      </c>
      <c r="F4" s="110">
        <v>24</v>
      </c>
      <c r="G4" s="110">
        <v>62</v>
      </c>
      <c r="H4" s="110">
        <v>62</v>
      </c>
      <c r="I4" s="110">
        <v>62</v>
      </c>
      <c r="J4" s="110">
        <v>4</v>
      </c>
      <c r="K4" s="110">
        <v>4</v>
      </c>
      <c r="L4" s="57">
        <v>3</v>
      </c>
      <c r="M4" s="111">
        <v>789</v>
      </c>
    </row>
    <row r="5" spans="1:13" s="112" customFormat="1" ht="25.05" customHeight="1">
      <c r="A5" s="108">
        <v>3</v>
      </c>
      <c r="B5" s="109" t="s">
        <v>68</v>
      </c>
      <c r="C5" s="110">
        <v>478</v>
      </c>
      <c r="D5" s="110">
        <v>336</v>
      </c>
      <c r="E5" s="110">
        <v>184</v>
      </c>
      <c r="F5" s="110">
        <v>169</v>
      </c>
      <c r="G5" s="110">
        <v>5</v>
      </c>
      <c r="H5" s="110">
        <v>5</v>
      </c>
      <c r="I5" s="110">
        <v>5</v>
      </c>
      <c r="J5" s="110">
        <v>2</v>
      </c>
      <c r="K5" s="110">
        <v>3</v>
      </c>
      <c r="L5" s="57">
        <v>2</v>
      </c>
      <c r="M5" s="111">
        <v>711</v>
      </c>
    </row>
    <row r="6" spans="1:13" s="112" customFormat="1" ht="25.05" customHeight="1">
      <c r="A6" s="108">
        <v>4</v>
      </c>
      <c r="B6" s="109" t="s">
        <v>43</v>
      </c>
      <c r="C6" s="110">
        <v>288</v>
      </c>
      <c r="D6" s="110">
        <v>137</v>
      </c>
      <c r="E6" s="110">
        <v>17</v>
      </c>
      <c r="F6" s="110">
        <v>17</v>
      </c>
      <c r="G6" s="110">
        <v>119</v>
      </c>
      <c r="H6" s="110">
        <v>119</v>
      </c>
      <c r="I6" s="110">
        <v>119</v>
      </c>
      <c r="J6" s="110">
        <v>8</v>
      </c>
      <c r="K6" s="110">
        <v>13</v>
      </c>
      <c r="L6" s="57">
        <v>4</v>
      </c>
      <c r="M6" s="111">
        <v>553</v>
      </c>
    </row>
    <row r="7" spans="1:13" s="112" customFormat="1" ht="25.05" customHeight="1">
      <c r="A7" s="108">
        <v>5</v>
      </c>
      <c r="B7" s="109" t="s">
        <v>47</v>
      </c>
      <c r="C7" s="110">
        <v>156</v>
      </c>
      <c r="D7" s="110">
        <v>2</v>
      </c>
      <c r="E7" s="110">
        <v>28</v>
      </c>
      <c r="F7" s="110">
        <v>32</v>
      </c>
      <c r="G7" s="110">
        <v>22</v>
      </c>
      <c r="H7" s="110">
        <v>22</v>
      </c>
      <c r="I7" s="110">
        <v>22</v>
      </c>
      <c r="J7" s="110">
        <v>121</v>
      </c>
      <c r="K7" s="110">
        <v>121</v>
      </c>
      <c r="L7" s="57">
        <v>121</v>
      </c>
      <c r="M7" s="111">
        <v>491</v>
      </c>
    </row>
    <row r="8" spans="1:13" s="112" customFormat="1" ht="25.05" customHeight="1">
      <c r="A8" s="108">
        <v>6</v>
      </c>
      <c r="B8" s="109" t="s">
        <v>46</v>
      </c>
      <c r="C8" s="110">
        <v>369</v>
      </c>
      <c r="D8" s="110">
        <v>338</v>
      </c>
      <c r="E8" s="110">
        <v>4</v>
      </c>
      <c r="F8" s="110">
        <v>37</v>
      </c>
      <c r="G8" s="110">
        <v>1</v>
      </c>
      <c r="H8" s="110">
        <v>1</v>
      </c>
      <c r="I8" s="110">
        <v>1</v>
      </c>
      <c r="J8" s="110">
        <v>1</v>
      </c>
      <c r="K8" s="110">
        <v>1</v>
      </c>
      <c r="L8" s="57">
        <v>4</v>
      </c>
      <c r="M8" s="57">
        <v>388</v>
      </c>
    </row>
    <row r="9" spans="1:13" s="112" customFormat="1" ht="25.05" customHeight="1">
      <c r="A9" s="108">
        <v>7</v>
      </c>
      <c r="B9" s="109" t="s">
        <v>71</v>
      </c>
      <c r="C9" s="110">
        <v>248</v>
      </c>
      <c r="D9" s="110">
        <v>0</v>
      </c>
      <c r="E9" s="110">
        <v>103</v>
      </c>
      <c r="F9" s="110">
        <v>221</v>
      </c>
      <c r="G9" s="110">
        <v>3</v>
      </c>
      <c r="H9" s="110">
        <v>3</v>
      </c>
      <c r="I9" s="110">
        <v>3</v>
      </c>
      <c r="J9" s="110">
        <v>5</v>
      </c>
      <c r="K9" s="110">
        <v>7</v>
      </c>
      <c r="L9" s="57">
        <v>5</v>
      </c>
      <c r="M9" s="57">
        <v>350</v>
      </c>
    </row>
    <row r="10" spans="1:13" s="112" customFormat="1" ht="25.05" customHeight="1">
      <c r="A10" s="108">
        <v>8</v>
      </c>
      <c r="B10" s="109" t="s">
        <v>59</v>
      </c>
      <c r="C10" s="110">
        <v>205</v>
      </c>
      <c r="D10" s="110">
        <v>2</v>
      </c>
      <c r="E10" s="110">
        <v>191</v>
      </c>
      <c r="F10" s="110">
        <v>121</v>
      </c>
      <c r="G10" s="110">
        <v>6</v>
      </c>
      <c r="H10" s="110">
        <v>6</v>
      </c>
      <c r="I10" s="110">
        <v>6</v>
      </c>
      <c r="J10" s="110">
        <v>4</v>
      </c>
      <c r="K10" s="110">
        <v>6</v>
      </c>
      <c r="L10" s="57">
        <v>5</v>
      </c>
      <c r="M10" s="57">
        <v>347</v>
      </c>
    </row>
    <row r="11" spans="1:13" s="112" customFormat="1" ht="25.05" customHeight="1">
      <c r="A11" s="108">
        <v>9</v>
      </c>
      <c r="B11" s="109" t="s">
        <v>66</v>
      </c>
      <c r="C11" s="110">
        <v>261</v>
      </c>
      <c r="D11" s="110">
        <v>3</v>
      </c>
      <c r="E11" s="110">
        <v>87</v>
      </c>
      <c r="F11" s="110">
        <v>236</v>
      </c>
      <c r="G11" s="110">
        <v>1</v>
      </c>
      <c r="H11" s="110">
        <v>1</v>
      </c>
      <c r="I11" s="110">
        <v>1</v>
      </c>
      <c r="J11" s="110">
        <v>5</v>
      </c>
      <c r="K11" s="110">
        <v>7</v>
      </c>
      <c r="L11" s="57">
        <v>6</v>
      </c>
      <c r="M11" s="57">
        <v>347</v>
      </c>
    </row>
    <row r="12" spans="1:13" s="112" customFormat="1" ht="25.05" customHeight="1">
      <c r="A12" s="108">
        <v>10</v>
      </c>
      <c r="B12" s="109" t="s">
        <v>72</v>
      </c>
      <c r="C12" s="110">
        <v>236</v>
      </c>
      <c r="D12" s="110">
        <v>154</v>
      </c>
      <c r="E12" s="110">
        <v>78</v>
      </c>
      <c r="F12" s="110">
        <v>79</v>
      </c>
      <c r="G12" s="110">
        <v>0</v>
      </c>
      <c r="H12" s="110">
        <v>0</v>
      </c>
      <c r="I12" s="110">
        <v>0</v>
      </c>
      <c r="J12" s="110">
        <v>1</v>
      </c>
      <c r="K12" s="110">
        <v>1</v>
      </c>
      <c r="L12" s="57">
        <v>2</v>
      </c>
      <c r="M12" s="57">
        <v>315</v>
      </c>
    </row>
    <row r="13" spans="1:13" s="112" customFormat="1" ht="25.05" customHeight="1">
      <c r="A13" s="108">
        <v>11</v>
      </c>
      <c r="B13" s="109" t="s">
        <v>50</v>
      </c>
      <c r="C13" s="110">
        <v>188</v>
      </c>
      <c r="D13" s="110">
        <v>4</v>
      </c>
      <c r="E13" s="110">
        <v>134</v>
      </c>
      <c r="F13" s="110">
        <v>30</v>
      </c>
      <c r="G13" s="110">
        <v>2</v>
      </c>
      <c r="H13" s="110">
        <v>2</v>
      </c>
      <c r="I13" s="110">
        <v>2</v>
      </c>
      <c r="J13" s="110">
        <v>33</v>
      </c>
      <c r="K13" s="110">
        <v>35</v>
      </c>
      <c r="L13" s="57">
        <v>36</v>
      </c>
      <c r="M13" s="57">
        <v>278</v>
      </c>
    </row>
    <row r="14" spans="1:13" s="112" customFormat="1" ht="25.05" customHeight="1">
      <c r="A14" s="108">
        <v>12</v>
      </c>
      <c r="B14" s="109" t="s">
        <v>57</v>
      </c>
      <c r="C14" s="110">
        <v>180</v>
      </c>
      <c r="D14" s="110">
        <v>5</v>
      </c>
      <c r="E14" s="110">
        <v>76</v>
      </c>
      <c r="F14" s="110">
        <v>168</v>
      </c>
      <c r="G14" s="110">
        <v>8</v>
      </c>
      <c r="H14" s="110">
        <v>8</v>
      </c>
      <c r="I14" s="110">
        <v>8</v>
      </c>
      <c r="J14" s="110">
        <v>0</v>
      </c>
      <c r="K14" s="110">
        <v>0</v>
      </c>
      <c r="L14" s="57">
        <v>0</v>
      </c>
      <c r="M14" s="57">
        <v>273</v>
      </c>
    </row>
    <row r="15" spans="1:13" s="112" customFormat="1" ht="25.05" customHeight="1">
      <c r="A15" s="108">
        <v>13</v>
      </c>
      <c r="B15" s="109" t="s">
        <v>65</v>
      </c>
      <c r="C15" s="110">
        <v>117</v>
      </c>
      <c r="D15" s="110">
        <v>7</v>
      </c>
      <c r="E15" s="110">
        <v>25</v>
      </c>
      <c r="F15" s="110">
        <v>29</v>
      </c>
      <c r="G15" s="110">
        <v>50</v>
      </c>
      <c r="H15" s="110">
        <v>50</v>
      </c>
      <c r="I15" s="110">
        <v>50</v>
      </c>
      <c r="J15" s="110">
        <v>8</v>
      </c>
      <c r="K15" s="110">
        <v>8</v>
      </c>
      <c r="L15" s="57">
        <v>34</v>
      </c>
      <c r="M15" s="57">
        <v>261</v>
      </c>
    </row>
    <row r="16" spans="1:13" s="112" customFormat="1" ht="25.05" customHeight="1">
      <c r="A16" s="108">
        <v>14</v>
      </c>
      <c r="B16" s="109" t="s">
        <v>49</v>
      </c>
      <c r="C16" s="110">
        <v>66</v>
      </c>
      <c r="D16" s="110">
        <v>0</v>
      </c>
      <c r="E16" s="110">
        <v>14</v>
      </c>
      <c r="F16" s="110">
        <v>9</v>
      </c>
      <c r="G16" s="110">
        <v>3</v>
      </c>
      <c r="H16" s="110">
        <v>3</v>
      </c>
      <c r="I16" s="110">
        <v>3</v>
      </c>
      <c r="J16" s="110">
        <v>55</v>
      </c>
      <c r="K16" s="110">
        <v>55</v>
      </c>
      <c r="L16" s="57">
        <v>56</v>
      </c>
      <c r="M16" s="57">
        <v>198</v>
      </c>
    </row>
    <row r="17" spans="1:13" s="112" customFormat="1" ht="25.05" customHeight="1">
      <c r="A17" s="108">
        <v>15</v>
      </c>
      <c r="B17" s="109" t="s">
        <v>52</v>
      </c>
      <c r="C17" s="110">
        <v>118</v>
      </c>
      <c r="D17" s="110">
        <v>36</v>
      </c>
      <c r="E17" s="110">
        <v>83</v>
      </c>
      <c r="F17" s="110">
        <v>45</v>
      </c>
      <c r="G17" s="110">
        <v>2</v>
      </c>
      <c r="H17" s="110">
        <v>2</v>
      </c>
      <c r="I17" s="110">
        <v>2</v>
      </c>
      <c r="J17" s="110">
        <v>2</v>
      </c>
      <c r="K17" s="110">
        <v>2</v>
      </c>
      <c r="L17" s="57">
        <v>1</v>
      </c>
      <c r="M17" s="57">
        <v>175</v>
      </c>
    </row>
    <row r="18" spans="1:13" s="112" customFormat="1" ht="25.05" customHeight="1">
      <c r="A18" s="108">
        <v>16</v>
      </c>
      <c r="B18" s="109" t="s">
        <v>44</v>
      </c>
      <c r="C18" s="110">
        <v>65</v>
      </c>
      <c r="D18" s="110">
        <v>3</v>
      </c>
      <c r="E18" s="110">
        <v>3</v>
      </c>
      <c r="F18" s="110">
        <v>3</v>
      </c>
      <c r="G18" s="110">
        <v>18</v>
      </c>
      <c r="H18" s="110">
        <v>18</v>
      </c>
      <c r="I18" s="110">
        <v>18</v>
      </c>
      <c r="J18" s="110">
        <v>28</v>
      </c>
      <c r="K18" s="110">
        <v>29</v>
      </c>
      <c r="L18" s="57">
        <v>44</v>
      </c>
      <c r="M18" s="57">
        <v>164</v>
      </c>
    </row>
    <row r="19" spans="1:13" s="112" customFormat="1" ht="25.05" customHeight="1">
      <c r="A19" s="108">
        <v>17</v>
      </c>
      <c r="B19" s="109" t="s">
        <v>51</v>
      </c>
      <c r="C19" s="110">
        <v>80</v>
      </c>
      <c r="D19" s="110">
        <v>0</v>
      </c>
      <c r="E19" s="110">
        <v>69</v>
      </c>
      <c r="F19" s="110">
        <v>71</v>
      </c>
      <c r="G19" s="110">
        <v>3</v>
      </c>
      <c r="H19" s="110">
        <v>3</v>
      </c>
      <c r="I19" s="110">
        <v>3</v>
      </c>
      <c r="J19" s="110">
        <v>4</v>
      </c>
      <c r="K19" s="110">
        <v>4</v>
      </c>
      <c r="L19" s="57">
        <v>5</v>
      </c>
      <c r="M19" s="57">
        <v>162</v>
      </c>
    </row>
    <row r="20" spans="1:13" s="112" customFormat="1" ht="25.05" customHeight="1">
      <c r="A20" s="108">
        <v>18</v>
      </c>
      <c r="B20" s="109" t="s">
        <v>69</v>
      </c>
      <c r="C20" s="110">
        <v>74</v>
      </c>
      <c r="D20" s="110">
        <v>10</v>
      </c>
      <c r="E20" s="110">
        <v>53</v>
      </c>
      <c r="F20" s="110">
        <v>44</v>
      </c>
      <c r="G20" s="110">
        <v>11</v>
      </c>
      <c r="H20" s="110">
        <v>11</v>
      </c>
      <c r="I20" s="110">
        <v>11</v>
      </c>
      <c r="J20" s="110">
        <v>0</v>
      </c>
      <c r="K20" s="110">
        <v>0</v>
      </c>
      <c r="L20" s="57">
        <v>0</v>
      </c>
      <c r="M20" s="57">
        <v>140</v>
      </c>
    </row>
    <row r="21" spans="1:13" s="112" customFormat="1" ht="25.05" customHeight="1">
      <c r="A21" s="108">
        <v>19</v>
      </c>
      <c r="B21" s="109" t="s">
        <v>64</v>
      </c>
      <c r="C21" s="110">
        <v>27</v>
      </c>
      <c r="D21" s="110">
        <v>1</v>
      </c>
      <c r="E21" s="110">
        <v>2</v>
      </c>
      <c r="F21" s="110">
        <v>0</v>
      </c>
      <c r="G21" s="110">
        <v>20</v>
      </c>
      <c r="H21" s="110">
        <v>20</v>
      </c>
      <c r="I21" s="110">
        <v>20</v>
      </c>
      <c r="J21" s="110">
        <v>22</v>
      </c>
      <c r="K21" s="110">
        <v>22</v>
      </c>
      <c r="L21" s="57">
        <v>22</v>
      </c>
      <c r="M21" s="57">
        <v>129</v>
      </c>
    </row>
    <row r="22" spans="1:13" s="112" customFormat="1" ht="25.05" customHeight="1">
      <c r="A22" s="108">
        <v>20</v>
      </c>
      <c r="B22" s="109" t="s">
        <v>62</v>
      </c>
      <c r="C22" s="110">
        <v>73</v>
      </c>
      <c r="D22" s="110">
        <v>1</v>
      </c>
      <c r="E22" s="110">
        <v>1</v>
      </c>
      <c r="F22" s="110">
        <v>41</v>
      </c>
      <c r="G22" s="110">
        <v>14</v>
      </c>
      <c r="H22" s="110">
        <v>14</v>
      </c>
      <c r="I22" s="110">
        <v>14</v>
      </c>
      <c r="J22" s="110">
        <v>4</v>
      </c>
      <c r="K22" s="110">
        <v>21</v>
      </c>
      <c r="L22" s="57">
        <v>6</v>
      </c>
      <c r="M22" s="57">
        <v>116</v>
      </c>
    </row>
    <row r="23" spans="1:13" s="112" customFormat="1" ht="25.05" customHeight="1">
      <c r="A23" s="108">
        <v>21</v>
      </c>
      <c r="B23" s="109" t="s">
        <v>63</v>
      </c>
      <c r="C23" s="110">
        <v>71</v>
      </c>
      <c r="D23" s="110">
        <v>17</v>
      </c>
      <c r="E23" s="110">
        <v>22</v>
      </c>
      <c r="F23" s="110">
        <v>56</v>
      </c>
      <c r="G23" s="110">
        <v>0</v>
      </c>
      <c r="H23" s="110">
        <v>0</v>
      </c>
      <c r="I23" s="110">
        <v>0</v>
      </c>
      <c r="J23" s="110">
        <v>5</v>
      </c>
      <c r="K23" s="110">
        <v>6</v>
      </c>
      <c r="L23" s="57">
        <v>7</v>
      </c>
      <c r="M23" s="57">
        <v>113</v>
      </c>
    </row>
    <row r="24" spans="1:13" s="112" customFormat="1" ht="25.05" customHeight="1">
      <c r="A24" s="108">
        <v>22</v>
      </c>
      <c r="B24" s="109" t="s">
        <v>54</v>
      </c>
      <c r="C24" s="110">
        <v>61</v>
      </c>
      <c r="D24" s="110">
        <v>20</v>
      </c>
      <c r="E24" s="110">
        <v>7</v>
      </c>
      <c r="F24" s="110">
        <v>33</v>
      </c>
      <c r="G24" s="110">
        <v>8</v>
      </c>
      <c r="H24" s="110">
        <v>8</v>
      </c>
      <c r="I24" s="110">
        <v>8</v>
      </c>
      <c r="J24" s="110">
        <v>1</v>
      </c>
      <c r="K24" s="110">
        <v>2</v>
      </c>
      <c r="L24" s="57">
        <v>3</v>
      </c>
      <c r="M24" s="57">
        <v>90</v>
      </c>
    </row>
    <row r="25" spans="1:13" s="112" customFormat="1" ht="25.05" customHeight="1">
      <c r="A25" s="108">
        <v>23</v>
      </c>
      <c r="B25" s="109" t="s">
        <v>56</v>
      </c>
      <c r="C25" s="110">
        <v>48</v>
      </c>
      <c r="D25" s="110">
        <v>29</v>
      </c>
      <c r="E25" s="110">
        <v>24</v>
      </c>
      <c r="F25" s="110">
        <v>22</v>
      </c>
      <c r="G25" s="110">
        <v>0</v>
      </c>
      <c r="H25" s="110">
        <v>0</v>
      </c>
      <c r="I25" s="110">
        <v>0</v>
      </c>
      <c r="J25" s="110">
        <v>0</v>
      </c>
      <c r="K25" s="110">
        <v>1</v>
      </c>
      <c r="L25" s="57">
        <v>0</v>
      </c>
      <c r="M25" s="57">
        <v>76</v>
      </c>
    </row>
    <row r="26" spans="1:13" s="112" customFormat="1" ht="25.05" customHeight="1">
      <c r="A26" s="108">
        <v>24</v>
      </c>
      <c r="B26" s="109" t="s">
        <v>42</v>
      </c>
      <c r="C26" s="110">
        <v>52</v>
      </c>
      <c r="D26" s="110">
        <v>28</v>
      </c>
      <c r="E26" s="110">
        <v>11</v>
      </c>
      <c r="F26" s="110">
        <v>21</v>
      </c>
      <c r="G26" s="110">
        <v>1</v>
      </c>
      <c r="H26" s="110">
        <v>1</v>
      </c>
      <c r="I26" s="110">
        <v>1</v>
      </c>
      <c r="J26" s="110">
        <v>1</v>
      </c>
      <c r="K26" s="110">
        <v>1</v>
      </c>
      <c r="L26" s="57">
        <v>0</v>
      </c>
      <c r="M26" s="57">
        <v>65</v>
      </c>
    </row>
    <row r="27" spans="1:13" s="112" customFormat="1" ht="25.05" customHeight="1">
      <c r="A27" s="108">
        <v>25</v>
      </c>
      <c r="B27" s="109" t="s">
        <v>70</v>
      </c>
      <c r="C27" s="110">
        <v>33</v>
      </c>
      <c r="D27" s="110">
        <v>3</v>
      </c>
      <c r="E27" s="110">
        <v>27</v>
      </c>
      <c r="F27" s="110">
        <v>29</v>
      </c>
      <c r="G27" s="110">
        <v>0</v>
      </c>
      <c r="H27" s="110">
        <v>0</v>
      </c>
      <c r="I27" s="110">
        <v>0</v>
      </c>
      <c r="J27" s="110">
        <v>0</v>
      </c>
      <c r="K27" s="110">
        <v>1</v>
      </c>
      <c r="L27" s="57">
        <v>3</v>
      </c>
      <c r="M27" s="57">
        <v>63</v>
      </c>
    </row>
    <row r="28" spans="1:13" s="112" customFormat="1" ht="25.05" customHeight="1">
      <c r="A28" s="108">
        <v>26</v>
      </c>
      <c r="B28" s="109" t="s">
        <v>67</v>
      </c>
      <c r="C28" s="110">
        <v>26</v>
      </c>
      <c r="D28" s="110">
        <v>2</v>
      </c>
      <c r="E28" s="110">
        <v>13</v>
      </c>
      <c r="F28" s="110">
        <v>12</v>
      </c>
      <c r="G28" s="110">
        <v>5</v>
      </c>
      <c r="H28" s="110">
        <v>5</v>
      </c>
      <c r="I28" s="110">
        <v>5</v>
      </c>
      <c r="J28" s="110">
        <v>5</v>
      </c>
      <c r="K28" s="110">
        <v>5</v>
      </c>
      <c r="L28" s="57">
        <v>8</v>
      </c>
      <c r="M28" s="57">
        <v>60</v>
      </c>
    </row>
    <row r="29" spans="1:13" s="112" customFormat="1" ht="25.05" customHeight="1">
      <c r="A29" s="108">
        <v>27</v>
      </c>
      <c r="B29" s="109" t="s">
        <v>55</v>
      </c>
      <c r="C29" s="110">
        <v>28</v>
      </c>
      <c r="D29" s="110">
        <v>9</v>
      </c>
      <c r="E29" s="110">
        <v>19</v>
      </c>
      <c r="F29" s="110">
        <v>19</v>
      </c>
      <c r="G29" s="110">
        <v>0</v>
      </c>
      <c r="H29" s="110">
        <v>0</v>
      </c>
      <c r="I29" s="110">
        <v>0</v>
      </c>
      <c r="J29" s="110">
        <v>0</v>
      </c>
      <c r="K29" s="110">
        <v>0</v>
      </c>
      <c r="L29" s="57">
        <v>0</v>
      </c>
      <c r="M29" s="57">
        <v>47</v>
      </c>
    </row>
    <row r="30" spans="1:13" s="112" customFormat="1" ht="25.05" customHeight="1">
      <c r="A30" s="108">
        <v>28</v>
      </c>
      <c r="B30" s="109" t="s">
        <v>74</v>
      </c>
      <c r="C30" s="110">
        <v>36</v>
      </c>
      <c r="D30" s="110">
        <v>36</v>
      </c>
      <c r="E30" s="110">
        <v>0</v>
      </c>
      <c r="F30" s="110">
        <v>7</v>
      </c>
      <c r="G30" s="110">
        <v>0</v>
      </c>
      <c r="H30" s="110">
        <v>0</v>
      </c>
      <c r="I30" s="110">
        <v>0</v>
      </c>
      <c r="J30" s="110">
        <v>0</v>
      </c>
      <c r="K30" s="110">
        <v>0</v>
      </c>
      <c r="L30" s="57">
        <v>0</v>
      </c>
      <c r="M30" s="57">
        <v>43</v>
      </c>
    </row>
    <row r="31" spans="1:13" s="112" customFormat="1" ht="25.05" customHeight="1">
      <c r="A31" s="108">
        <v>29</v>
      </c>
      <c r="B31" s="109" t="s">
        <v>53</v>
      </c>
      <c r="C31" s="110">
        <v>25</v>
      </c>
      <c r="D31" s="110">
        <v>6</v>
      </c>
      <c r="E31" s="110">
        <v>18</v>
      </c>
      <c r="F31" s="110">
        <v>16</v>
      </c>
      <c r="G31" s="110">
        <v>0</v>
      </c>
      <c r="H31" s="110">
        <v>0</v>
      </c>
      <c r="I31" s="110">
        <v>0</v>
      </c>
      <c r="J31" s="110">
        <v>0</v>
      </c>
      <c r="K31" s="110">
        <v>0</v>
      </c>
      <c r="L31" s="57">
        <v>1</v>
      </c>
      <c r="M31" s="57">
        <v>41</v>
      </c>
    </row>
    <row r="32" spans="1:13" s="112" customFormat="1" ht="25.05" customHeight="1">
      <c r="A32" s="108">
        <v>30</v>
      </c>
      <c r="B32" s="109" t="s">
        <v>45</v>
      </c>
      <c r="C32" s="110">
        <v>24</v>
      </c>
      <c r="D32" s="110">
        <v>16</v>
      </c>
      <c r="E32" s="110">
        <v>7</v>
      </c>
      <c r="F32" s="110">
        <v>6</v>
      </c>
      <c r="G32" s="110">
        <v>0</v>
      </c>
      <c r="H32" s="110">
        <v>0</v>
      </c>
      <c r="I32" s="110">
        <v>0</v>
      </c>
      <c r="J32" s="110">
        <v>0</v>
      </c>
      <c r="K32" s="110">
        <v>0</v>
      </c>
      <c r="L32" s="57">
        <v>0</v>
      </c>
      <c r="M32" s="57">
        <v>29</v>
      </c>
    </row>
    <row r="33" spans="1:13" s="112" customFormat="1" ht="25.05" customHeight="1">
      <c r="A33" s="108">
        <v>31</v>
      </c>
      <c r="B33" s="109" t="s">
        <v>41</v>
      </c>
      <c r="C33" s="110">
        <v>15</v>
      </c>
      <c r="D33" s="110">
        <v>13</v>
      </c>
      <c r="E33" s="110">
        <v>5</v>
      </c>
      <c r="F33" s="110">
        <v>3</v>
      </c>
      <c r="G33" s="110">
        <v>1</v>
      </c>
      <c r="H33" s="110">
        <v>1</v>
      </c>
      <c r="I33" s="110">
        <v>1</v>
      </c>
      <c r="J33" s="110">
        <v>1</v>
      </c>
      <c r="K33" s="110">
        <v>1</v>
      </c>
      <c r="L33" s="57">
        <v>1</v>
      </c>
      <c r="M33" s="57">
        <v>27</v>
      </c>
    </row>
    <row r="34" spans="1:13" s="112" customFormat="1" ht="25.05" customHeight="1">
      <c r="A34" s="108">
        <v>32</v>
      </c>
      <c r="B34" s="109" t="s">
        <v>60</v>
      </c>
      <c r="C34" s="110">
        <v>9</v>
      </c>
      <c r="D34" s="110">
        <v>0</v>
      </c>
      <c r="E34" s="110">
        <v>0</v>
      </c>
      <c r="F34" s="110">
        <v>0</v>
      </c>
      <c r="G34" s="110">
        <v>1</v>
      </c>
      <c r="H34" s="110">
        <v>1</v>
      </c>
      <c r="I34" s="110">
        <v>1</v>
      </c>
      <c r="J34" s="110">
        <v>5</v>
      </c>
      <c r="K34" s="110">
        <v>5</v>
      </c>
      <c r="L34" s="57">
        <v>7</v>
      </c>
      <c r="M34" s="57">
        <v>20</v>
      </c>
    </row>
    <row r="35" spans="1:13" s="112" customFormat="1" ht="25.05" customHeight="1">
      <c r="A35" s="108">
        <v>33</v>
      </c>
      <c r="B35" s="109" t="s">
        <v>73</v>
      </c>
      <c r="C35" s="110">
        <v>2</v>
      </c>
      <c r="D35" s="110">
        <v>0</v>
      </c>
      <c r="E35" s="110">
        <v>0</v>
      </c>
      <c r="F35" s="110">
        <v>0</v>
      </c>
      <c r="G35" s="110">
        <v>0</v>
      </c>
      <c r="H35" s="110">
        <v>0</v>
      </c>
      <c r="I35" s="110">
        <v>0</v>
      </c>
      <c r="J35" s="110">
        <v>2</v>
      </c>
      <c r="K35" s="110">
        <v>2</v>
      </c>
      <c r="L35" s="57">
        <v>2</v>
      </c>
      <c r="M35" s="57">
        <v>6</v>
      </c>
    </row>
    <row r="36" spans="1:13" s="112" customFormat="1" ht="25.05" customHeight="1">
      <c r="A36" s="108">
        <v>34</v>
      </c>
      <c r="B36" s="109" t="s">
        <v>58</v>
      </c>
      <c r="C36" s="110">
        <v>0</v>
      </c>
      <c r="D36" s="110">
        <v>0</v>
      </c>
      <c r="E36" s="110">
        <v>0</v>
      </c>
      <c r="F36" s="110">
        <v>0</v>
      </c>
      <c r="G36" s="110">
        <v>0</v>
      </c>
      <c r="H36" s="110">
        <v>0</v>
      </c>
      <c r="I36" s="110">
        <v>0</v>
      </c>
      <c r="J36" s="110">
        <v>0</v>
      </c>
      <c r="K36" s="110">
        <v>0</v>
      </c>
      <c r="L36" s="57">
        <v>0</v>
      </c>
      <c r="M36" s="57">
        <v>0</v>
      </c>
    </row>
    <row r="37" spans="1:13" s="115" customFormat="1" ht="25.05" customHeight="1">
      <c r="A37" s="113" t="s">
        <v>75</v>
      </c>
      <c r="B37" s="113"/>
      <c r="C37" s="114">
        <f>SUM(C3:C36)</f>
        <v>4809</v>
      </c>
      <c r="D37" s="114">
        <f t="shared" ref="D37:M37" si="0">SUM(D3:D36)</f>
        <v>2339</v>
      </c>
      <c r="E37" s="114">
        <f t="shared" si="0"/>
        <v>1461</v>
      </c>
      <c r="F37" s="114">
        <f t="shared" si="0"/>
        <v>1710</v>
      </c>
      <c r="G37" s="114">
        <f t="shared" si="0"/>
        <v>370</v>
      </c>
      <c r="H37" s="114">
        <f t="shared" si="0"/>
        <v>370</v>
      </c>
      <c r="I37" s="114">
        <f t="shared" si="0"/>
        <v>370</v>
      </c>
      <c r="J37" s="114">
        <f t="shared" si="0"/>
        <v>337</v>
      </c>
      <c r="K37" s="114">
        <f t="shared" si="0"/>
        <v>373</v>
      </c>
      <c r="L37" s="114">
        <f t="shared" si="0"/>
        <v>397</v>
      </c>
      <c r="M37" s="114">
        <f t="shared" si="0"/>
        <v>7727</v>
      </c>
    </row>
  </sheetData>
  <mergeCells count="2">
    <mergeCell ref="A1:M1"/>
    <mergeCell ref="A37:B37"/>
  </mergeCells>
  <printOptions horizontalCentered="1"/>
  <pageMargins left="0.51181102362204722" right="0.51181102362204722" top="0.74803149606299213" bottom="0.74803149606299213" header="0.31496062992125984" footer="0.31496062992125984"/>
  <pageSetup paperSize="5" scale="8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2625E-BF1C-4D1D-AC6D-63DA446E877A}">
  <sheetPr codeName="Sheet33">
    <tabColor rgb="FF002060"/>
  </sheetPr>
  <dimension ref="A1:K38"/>
  <sheetViews>
    <sheetView topLeftCell="A13" workbookViewId="0">
      <selection activeCell="G41" sqref="G41"/>
    </sheetView>
  </sheetViews>
  <sheetFormatPr defaultColWidth="9.109375" defaultRowHeight="14.4"/>
  <cols>
    <col min="1" max="1" width="5.21875" customWidth="1"/>
    <col min="2" max="2" width="20.109375" customWidth="1"/>
    <col min="3" max="3" width="6.44140625" bestFit="1" customWidth="1"/>
    <col min="4" max="4" width="10.44140625" bestFit="1" customWidth="1"/>
    <col min="5" max="5" width="10" customWidth="1"/>
    <col min="6" max="6" width="9.77734375" customWidth="1"/>
    <col min="7" max="7" width="10.77734375" style="142" customWidth="1"/>
    <col min="8" max="8" width="9.44140625" bestFit="1" customWidth="1"/>
    <col min="11" max="11" width="14.88671875" customWidth="1"/>
  </cols>
  <sheetData>
    <row r="1" spans="1:11" ht="30" customHeight="1">
      <c r="A1" s="116" t="str">
        <f ca="1">"CHITTOOR DISTRICT E SAKSHYA IDS CREATED FOR FIRS FROM 01-07-2024  TO "&amp;TEXT(TODAY()-1,"dd-mm-yyyy")</f>
        <v>CHITTOOR DISTRICT E SAKSHYA IDS CREATED FOR FIRS FROM 01-07-2024  TO 02-06-2026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</row>
    <row r="2" spans="1:11" ht="21.6" customHeight="1">
      <c r="A2" s="117" t="s">
        <v>151</v>
      </c>
      <c r="B2" s="117" t="s">
        <v>152</v>
      </c>
      <c r="C2" s="11" t="s">
        <v>153</v>
      </c>
      <c r="D2" s="118" t="s">
        <v>154</v>
      </c>
      <c r="E2" s="119" t="s">
        <v>155</v>
      </c>
      <c r="F2" s="119"/>
      <c r="G2" s="119"/>
      <c r="H2" s="120" t="s">
        <v>156</v>
      </c>
      <c r="I2" s="120"/>
      <c r="J2" s="120"/>
      <c r="K2" s="121" t="s">
        <v>157</v>
      </c>
    </row>
    <row r="3" spans="1:11" ht="51.6" customHeight="1">
      <c r="A3" s="122"/>
      <c r="B3" s="122"/>
      <c r="C3" s="11"/>
      <c r="D3" s="118"/>
      <c r="E3" s="29" t="s">
        <v>158</v>
      </c>
      <c r="F3" s="29" t="s">
        <v>159</v>
      </c>
      <c r="G3" s="123" t="s">
        <v>160</v>
      </c>
      <c r="H3" s="124" t="s">
        <v>161</v>
      </c>
      <c r="I3" s="124" t="s">
        <v>162</v>
      </c>
      <c r="J3" s="124" t="s">
        <v>163</v>
      </c>
      <c r="K3" s="121"/>
    </row>
    <row r="4" spans="1:11" ht="24" customHeight="1">
      <c r="A4" s="125">
        <v>1</v>
      </c>
      <c r="B4" s="126" t="s">
        <v>58</v>
      </c>
      <c r="C4" s="127">
        <v>205</v>
      </c>
      <c r="D4" s="128">
        <v>232</v>
      </c>
      <c r="E4" s="129">
        <v>9</v>
      </c>
      <c r="F4" s="129">
        <v>9</v>
      </c>
      <c r="G4" s="130">
        <v>0</v>
      </c>
      <c r="H4" s="131">
        <v>196</v>
      </c>
      <c r="I4" s="131">
        <v>196</v>
      </c>
      <c r="J4" s="132">
        <v>0</v>
      </c>
      <c r="K4" s="133">
        <v>100</v>
      </c>
    </row>
    <row r="5" spans="1:11" ht="24" customHeight="1">
      <c r="A5" s="125">
        <v>2</v>
      </c>
      <c r="B5" s="126" t="s">
        <v>67</v>
      </c>
      <c r="C5" s="127">
        <v>234</v>
      </c>
      <c r="D5" s="128">
        <v>351</v>
      </c>
      <c r="E5" s="129">
        <v>32</v>
      </c>
      <c r="F5" s="129">
        <v>31</v>
      </c>
      <c r="G5" s="130">
        <v>1</v>
      </c>
      <c r="H5" s="131">
        <v>202</v>
      </c>
      <c r="I5" s="131">
        <v>202</v>
      </c>
      <c r="J5" s="132">
        <v>0</v>
      </c>
      <c r="K5" s="133">
        <v>99.572649572649567</v>
      </c>
    </row>
    <row r="6" spans="1:11" ht="24" customHeight="1">
      <c r="A6" s="125">
        <v>3</v>
      </c>
      <c r="B6" s="126" t="s">
        <v>60</v>
      </c>
      <c r="C6" s="127">
        <v>229</v>
      </c>
      <c r="D6" s="128">
        <v>334</v>
      </c>
      <c r="E6" s="129">
        <v>37</v>
      </c>
      <c r="F6" s="129">
        <v>36</v>
      </c>
      <c r="G6" s="130">
        <v>1</v>
      </c>
      <c r="H6" s="131">
        <v>192</v>
      </c>
      <c r="I6" s="131">
        <v>192</v>
      </c>
      <c r="J6" s="132">
        <v>0</v>
      </c>
      <c r="K6" s="133">
        <v>99.563318777292579</v>
      </c>
    </row>
    <row r="7" spans="1:11" ht="24" customHeight="1">
      <c r="A7" s="125">
        <v>4</v>
      </c>
      <c r="B7" s="126" t="s">
        <v>54</v>
      </c>
      <c r="C7" s="127">
        <v>350</v>
      </c>
      <c r="D7" s="128">
        <v>451</v>
      </c>
      <c r="E7" s="129">
        <v>32</v>
      </c>
      <c r="F7" s="129">
        <v>30</v>
      </c>
      <c r="G7" s="130">
        <v>2</v>
      </c>
      <c r="H7" s="131">
        <v>318</v>
      </c>
      <c r="I7" s="131">
        <v>318</v>
      </c>
      <c r="J7" s="132">
        <v>0</v>
      </c>
      <c r="K7" s="133">
        <v>99.428571428571431</v>
      </c>
    </row>
    <row r="8" spans="1:11" ht="24" customHeight="1">
      <c r="A8" s="125">
        <v>5</v>
      </c>
      <c r="B8" s="126" t="s">
        <v>42</v>
      </c>
      <c r="C8" s="127">
        <v>206</v>
      </c>
      <c r="D8" s="128">
        <v>228</v>
      </c>
      <c r="E8" s="129">
        <v>15</v>
      </c>
      <c r="F8" s="129">
        <v>13</v>
      </c>
      <c r="G8" s="130">
        <v>2</v>
      </c>
      <c r="H8" s="131">
        <v>191</v>
      </c>
      <c r="I8" s="131">
        <v>190</v>
      </c>
      <c r="J8" s="132">
        <v>1</v>
      </c>
      <c r="K8" s="133">
        <v>98.543689320388353</v>
      </c>
    </row>
    <row r="9" spans="1:11" ht="24" customHeight="1">
      <c r="A9" s="125">
        <v>6</v>
      </c>
      <c r="B9" s="126" t="s">
        <v>64</v>
      </c>
      <c r="C9" s="127">
        <v>372</v>
      </c>
      <c r="D9" s="128">
        <v>410</v>
      </c>
      <c r="E9" s="129">
        <v>72</v>
      </c>
      <c r="F9" s="129">
        <v>63</v>
      </c>
      <c r="G9" s="130">
        <v>9</v>
      </c>
      <c r="H9" s="131">
        <v>300</v>
      </c>
      <c r="I9" s="131">
        <v>299</v>
      </c>
      <c r="J9" s="132">
        <v>1</v>
      </c>
      <c r="K9" s="134">
        <v>97.311827956989248</v>
      </c>
    </row>
    <row r="10" spans="1:11" ht="24" customHeight="1">
      <c r="A10" s="125">
        <v>7</v>
      </c>
      <c r="B10" s="126" t="s">
        <v>51</v>
      </c>
      <c r="C10" s="127">
        <v>251</v>
      </c>
      <c r="D10" s="128">
        <v>316</v>
      </c>
      <c r="E10" s="129">
        <v>28</v>
      </c>
      <c r="F10" s="129">
        <v>24</v>
      </c>
      <c r="G10" s="130">
        <v>4</v>
      </c>
      <c r="H10" s="131">
        <v>223</v>
      </c>
      <c r="I10" s="131">
        <v>219</v>
      </c>
      <c r="J10" s="132">
        <v>4</v>
      </c>
      <c r="K10" s="134">
        <v>96.812749003984067</v>
      </c>
    </row>
    <row r="11" spans="1:11" ht="24" customHeight="1">
      <c r="A11" s="125">
        <v>8</v>
      </c>
      <c r="B11" s="126" t="s">
        <v>72</v>
      </c>
      <c r="C11" s="127">
        <v>142</v>
      </c>
      <c r="D11" s="128">
        <v>145</v>
      </c>
      <c r="E11" s="129">
        <v>80</v>
      </c>
      <c r="F11" s="129">
        <v>74</v>
      </c>
      <c r="G11" s="130">
        <v>6</v>
      </c>
      <c r="H11" s="131">
        <v>62</v>
      </c>
      <c r="I11" s="131">
        <v>62</v>
      </c>
      <c r="J11" s="132">
        <v>0</v>
      </c>
      <c r="K11" s="134">
        <v>95.774647887323937</v>
      </c>
    </row>
    <row r="12" spans="1:11" ht="24" customHeight="1">
      <c r="A12" s="125">
        <v>9</v>
      </c>
      <c r="B12" s="126" t="s">
        <v>48</v>
      </c>
      <c r="C12" s="127">
        <v>285</v>
      </c>
      <c r="D12" s="128">
        <v>365</v>
      </c>
      <c r="E12" s="129">
        <v>21</v>
      </c>
      <c r="F12" s="129">
        <v>19</v>
      </c>
      <c r="G12" s="130">
        <v>2</v>
      </c>
      <c r="H12" s="131">
        <v>264</v>
      </c>
      <c r="I12" s="131">
        <v>253</v>
      </c>
      <c r="J12" s="132">
        <v>11</v>
      </c>
      <c r="K12" s="134">
        <v>95.438596491228068</v>
      </c>
    </row>
    <row r="13" spans="1:11" ht="24" customHeight="1">
      <c r="A13" s="125">
        <v>10</v>
      </c>
      <c r="B13" s="126" t="s">
        <v>45</v>
      </c>
      <c r="C13" s="127">
        <v>121</v>
      </c>
      <c r="D13" s="128">
        <v>148</v>
      </c>
      <c r="E13" s="129">
        <v>17</v>
      </c>
      <c r="F13" s="129">
        <v>12</v>
      </c>
      <c r="G13" s="130">
        <v>5</v>
      </c>
      <c r="H13" s="131">
        <v>104</v>
      </c>
      <c r="I13" s="131">
        <v>103</v>
      </c>
      <c r="J13" s="132">
        <v>1</v>
      </c>
      <c r="K13" s="134">
        <v>95.04132231404958</v>
      </c>
    </row>
    <row r="14" spans="1:11" ht="24" customHeight="1">
      <c r="A14" s="125">
        <v>11</v>
      </c>
      <c r="B14" s="135" t="s">
        <v>65</v>
      </c>
      <c r="C14" s="127">
        <v>103</v>
      </c>
      <c r="D14" s="128">
        <v>117</v>
      </c>
      <c r="E14" s="129">
        <v>12</v>
      </c>
      <c r="F14" s="129">
        <v>9</v>
      </c>
      <c r="G14" s="130">
        <v>3</v>
      </c>
      <c r="H14" s="131">
        <v>91</v>
      </c>
      <c r="I14" s="131">
        <v>81</v>
      </c>
      <c r="J14" s="132">
        <v>10</v>
      </c>
      <c r="K14" s="134">
        <v>87.378640776699029</v>
      </c>
    </row>
    <row r="15" spans="1:11" ht="24" customHeight="1">
      <c r="A15" s="125">
        <v>12</v>
      </c>
      <c r="B15" s="126" t="s">
        <v>56</v>
      </c>
      <c r="C15" s="127">
        <v>197</v>
      </c>
      <c r="D15" s="128">
        <v>392</v>
      </c>
      <c r="E15" s="129">
        <v>33</v>
      </c>
      <c r="F15" s="129">
        <v>22</v>
      </c>
      <c r="G15" s="130">
        <v>11</v>
      </c>
      <c r="H15" s="131">
        <v>164</v>
      </c>
      <c r="I15" s="131">
        <v>143</v>
      </c>
      <c r="J15" s="132">
        <v>21</v>
      </c>
      <c r="K15" s="134">
        <v>83.756345177664969</v>
      </c>
    </row>
    <row r="16" spans="1:11" ht="24" customHeight="1">
      <c r="A16" s="125">
        <v>13</v>
      </c>
      <c r="B16" s="126" t="s">
        <v>70</v>
      </c>
      <c r="C16" s="127">
        <v>270</v>
      </c>
      <c r="D16" s="128">
        <v>225</v>
      </c>
      <c r="E16" s="129">
        <v>45</v>
      </c>
      <c r="F16" s="129">
        <v>43</v>
      </c>
      <c r="G16" s="130">
        <v>2</v>
      </c>
      <c r="H16" s="131">
        <v>225</v>
      </c>
      <c r="I16" s="131">
        <v>170</v>
      </c>
      <c r="J16" s="132">
        <v>55</v>
      </c>
      <c r="K16" s="134">
        <v>78.888888888888886</v>
      </c>
    </row>
    <row r="17" spans="1:11" ht="24" customHeight="1">
      <c r="A17" s="125">
        <v>14</v>
      </c>
      <c r="B17" s="126" t="s">
        <v>61</v>
      </c>
      <c r="C17" s="127">
        <v>122</v>
      </c>
      <c r="D17" s="128">
        <v>104</v>
      </c>
      <c r="E17" s="129">
        <v>9</v>
      </c>
      <c r="F17" s="129">
        <v>8</v>
      </c>
      <c r="G17" s="130">
        <v>1</v>
      </c>
      <c r="H17" s="131">
        <v>113</v>
      </c>
      <c r="I17" s="131">
        <v>87</v>
      </c>
      <c r="J17" s="132">
        <v>26</v>
      </c>
      <c r="K17" s="134">
        <v>77.868852459016395</v>
      </c>
    </row>
    <row r="18" spans="1:11" ht="24" customHeight="1">
      <c r="A18" s="125">
        <v>15</v>
      </c>
      <c r="B18" s="126" t="s">
        <v>73</v>
      </c>
      <c r="C18" s="127">
        <v>139</v>
      </c>
      <c r="D18" s="128">
        <v>112</v>
      </c>
      <c r="E18" s="129">
        <v>49</v>
      </c>
      <c r="F18" s="129">
        <v>47</v>
      </c>
      <c r="G18" s="130">
        <v>2</v>
      </c>
      <c r="H18" s="131">
        <v>90</v>
      </c>
      <c r="I18" s="131">
        <v>59</v>
      </c>
      <c r="J18" s="132">
        <v>31</v>
      </c>
      <c r="K18" s="134">
        <v>76.258992805755398</v>
      </c>
    </row>
    <row r="19" spans="1:11" ht="24" customHeight="1">
      <c r="A19" s="125">
        <v>16</v>
      </c>
      <c r="B19" s="126" t="s">
        <v>71</v>
      </c>
      <c r="C19" s="127">
        <v>308</v>
      </c>
      <c r="D19" s="128">
        <v>363</v>
      </c>
      <c r="E19" s="129">
        <v>69</v>
      </c>
      <c r="F19" s="129">
        <v>54</v>
      </c>
      <c r="G19" s="130">
        <v>15</v>
      </c>
      <c r="H19" s="131">
        <v>239</v>
      </c>
      <c r="I19" s="131">
        <v>171</v>
      </c>
      <c r="J19" s="132">
        <v>68</v>
      </c>
      <c r="K19" s="134">
        <v>73.051948051948045</v>
      </c>
    </row>
    <row r="20" spans="1:11" ht="24" customHeight="1">
      <c r="A20" s="125">
        <v>17</v>
      </c>
      <c r="B20" s="126" t="s">
        <v>55</v>
      </c>
      <c r="C20" s="127">
        <v>147</v>
      </c>
      <c r="D20" s="128">
        <v>137</v>
      </c>
      <c r="E20" s="129">
        <v>23</v>
      </c>
      <c r="F20" s="129">
        <v>14</v>
      </c>
      <c r="G20" s="130">
        <v>9</v>
      </c>
      <c r="H20" s="131">
        <v>124</v>
      </c>
      <c r="I20" s="131">
        <v>91</v>
      </c>
      <c r="J20" s="132">
        <v>33</v>
      </c>
      <c r="K20" s="134">
        <v>71.428571428571431</v>
      </c>
    </row>
    <row r="21" spans="1:11" ht="24" customHeight="1">
      <c r="A21" s="125">
        <v>18</v>
      </c>
      <c r="B21" s="126" t="s">
        <v>46</v>
      </c>
      <c r="C21" s="127">
        <v>97</v>
      </c>
      <c r="D21" s="128">
        <v>69</v>
      </c>
      <c r="E21" s="129">
        <v>21</v>
      </c>
      <c r="F21" s="129">
        <v>17</v>
      </c>
      <c r="G21" s="130">
        <v>4</v>
      </c>
      <c r="H21" s="131">
        <v>76</v>
      </c>
      <c r="I21" s="131">
        <v>41</v>
      </c>
      <c r="J21" s="132">
        <v>35</v>
      </c>
      <c r="K21" s="134">
        <v>59.793814432989691</v>
      </c>
    </row>
    <row r="22" spans="1:11" ht="24" customHeight="1">
      <c r="A22" s="125">
        <v>19</v>
      </c>
      <c r="B22" s="126" t="s">
        <v>62</v>
      </c>
      <c r="C22" s="127">
        <v>348</v>
      </c>
      <c r="D22" s="128">
        <v>428</v>
      </c>
      <c r="E22" s="129">
        <v>61</v>
      </c>
      <c r="F22" s="129">
        <v>50</v>
      </c>
      <c r="G22" s="130">
        <v>11</v>
      </c>
      <c r="H22" s="131">
        <v>287</v>
      </c>
      <c r="I22" s="131">
        <v>154</v>
      </c>
      <c r="J22" s="132">
        <v>133</v>
      </c>
      <c r="K22" s="134">
        <v>58.620689655172413</v>
      </c>
    </row>
    <row r="23" spans="1:11" ht="24" customHeight="1">
      <c r="A23" s="125">
        <v>20</v>
      </c>
      <c r="B23" s="126" t="s">
        <v>69</v>
      </c>
      <c r="C23" s="127">
        <v>261</v>
      </c>
      <c r="D23" s="128">
        <v>341</v>
      </c>
      <c r="E23" s="129">
        <v>53</v>
      </c>
      <c r="F23" s="129">
        <v>26</v>
      </c>
      <c r="G23" s="130">
        <v>27</v>
      </c>
      <c r="H23" s="131">
        <v>208</v>
      </c>
      <c r="I23" s="131">
        <v>127</v>
      </c>
      <c r="J23" s="132">
        <v>81</v>
      </c>
      <c r="K23" s="134">
        <v>58.620689655172413</v>
      </c>
    </row>
    <row r="24" spans="1:11" ht="24" customHeight="1">
      <c r="A24" s="125">
        <v>21</v>
      </c>
      <c r="B24" s="126" t="s">
        <v>68</v>
      </c>
      <c r="C24" s="127">
        <v>312</v>
      </c>
      <c r="D24" s="128">
        <v>212</v>
      </c>
      <c r="E24" s="129">
        <v>111</v>
      </c>
      <c r="F24" s="129">
        <v>100</v>
      </c>
      <c r="G24" s="130">
        <v>11</v>
      </c>
      <c r="H24" s="131">
        <v>201</v>
      </c>
      <c r="I24" s="131">
        <v>77</v>
      </c>
      <c r="J24" s="132">
        <v>124</v>
      </c>
      <c r="K24" s="134">
        <v>56.730769230769234</v>
      </c>
    </row>
    <row r="25" spans="1:11" ht="24" customHeight="1">
      <c r="A25" s="125">
        <v>22</v>
      </c>
      <c r="B25" s="126" t="s">
        <v>52</v>
      </c>
      <c r="C25" s="127">
        <v>219</v>
      </c>
      <c r="D25" s="128">
        <v>188</v>
      </c>
      <c r="E25" s="129">
        <v>35</v>
      </c>
      <c r="F25" s="129">
        <v>20</v>
      </c>
      <c r="G25" s="130">
        <v>15</v>
      </c>
      <c r="H25" s="131">
        <v>184</v>
      </c>
      <c r="I25" s="131">
        <v>101</v>
      </c>
      <c r="J25" s="132">
        <v>83</v>
      </c>
      <c r="K25" s="134">
        <v>55.251141552511413</v>
      </c>
    </row>
    <row r="26" spans="1:11" ht="24" customHeight="1">
      <c r="A26" s="125">
        <v>23</v>
      </c>
      <c r="B26" s="126" t="s">
        <v>74</v>
      </c>
      <c r="C26" s="127">
        <v>4</v>
      </c>
      <c r="D26" s="128">
        <v>4</v>
      </c>
      <c r="E26" s="129">
        <v>3</v>
      </c>
      <c r="F26" s="129">
        <v>2</v>
      </c>
      <c r="G26" s="130">
        <v>1</v>
      </c>
      <c r="H26" s="131">
        <v>1</v>
      </c>
      <c r="I26" s="131">
        <v>0</v>
      </c>
      <c r="J26" s="132">
        <v>1</v>
      </c>
      <c r="K26" s="134">
        <v>50</v>
      </c>
    </row>
    <row r="27" spans="1:11" ht="24" customHeight="1">
      <c r="A27" s="125">
        <v>24</v>
      </c>
      <c r="B27" s="126" t="s">
        <v>43</v>
      </c>
      <c r="C27" s="127">
        <v>560</v>
      </c>
      <c r="D27" s="128">
        <v>388</v>
      </c>
      <c r="E27" s="129">
        <v>80</v>
      </c>
      <c r="F27" s="129">
        <v>63</v>
      </c>
      <c r="G27" s="130">
        <v>17</v>
      </c>
      <c r="H27" s="131">
        <v>480</v>
      </c>
      <c r="I27" s="131">
        <v>201</v>
      </c>
      <c r="J27" s="132">
        <v>279</v>
      </c>
      <c r="K27" s="134">
        <v>47.142857142857146</v>
      </c>
    </row>
    <row r="28" spans="1:11" ht="24" customHeight="1">
      <c r="A28" s="125">
        <v>25</v>
      </c>
      <c r="B28" s="126" t="s">
        <v>57</v>
      </c>
      <c r="C28" s="127">
        <v>628</v>
      </c>
      <c r="D28" s="128">
        <v>385</v>
      </c>
      <c r="E28" s="129">
        <v>143</v>
      </c>
      <c r="F28" s="129">
        <v>107</v>
      </c>
      <c r="G28" s="130">
        <v>36</v>
      </c>
      <c r="H28" s="131">
        <v>485</v>
      </c>
      <c r="I28" s="131">
        <v>181</v>
      </c>
      <c r="J28" s="132">
        <v>304</v>
      </c>
      <c r="K28" s="134">
        <v>45.859872611464965</v>
      </c>
    </row>
    <row r="29" spans="1:11" ht="24" customHeight="1">
      <c r="A29" s="125">
        <v>26</v>
      </c>
      <c r="B29" s="126" t="s">
        <v>59</v>
      </c>
      <c r="C29" s="127">
        <v>413</v>
      </c>
      <c r="D29" s="128">
        <v>250</v>
      </c>
      <c r="E29" s="129">
        <v>90</v>
      </c>
      <c r="F29" s="129">
        <v>75</v>
      </c>
      <c r="G29" s="130">
        <v>15</v>
      </c>
      <c r="H29" s="131">
        <v>323</v>
      </c>
      <c r="I29" s="131">
        <v>110</v>
      </c>
      <c r="J29" s="132">
        <v>213</v>
      </c>
      <c r="K29" s="134">
        <v>44.794188861985475</v>
      </c>
    </row>
    <row r="30" spans="1:11" ht="24" customHeight="1">
      <c r="A30" s="125">
        <v>27</v>
      </c>
      <c r="B30" s="126" t="s">
        <v>49</v>
      </c>
      <c r="C30" s="127">
        <v>459</v>
      </c>
      <c r="D30" s="128">
        <v>279</v>
      </c>
      <c r="E30" s="129">
        <v>38</v>
      </c>
      <c r="F30" s="129">
        <v>27</v>
      </c>
      <c r="G30" s="130">
        <v>11</v>
      </c>
      <c r="H30" s="131">
        <v>421</v>
      </c>
      <c r="I30" s="131">
        <v>167</v>
      </c>
      <c r="J30" s="132">
        <v>254</v>
      </c>
      <c r="K30" s="134">
        <v>42.265795206971674</v>
      </c>
    </row>
    <row r="31" spans="1:11" ht="24" customHeight="1">
      <c r="A31" s="125">
        <v>28</v>
      </c>
      <c r="B31" s="126" t="s">
        <v>63</v>
      </c>
      <c r="C31" s="127">
        <v>251</v>
      </c>
      <c r="D31" s="128">
        <v>135</v>
      </c>
      <c r="E31" s="129">
        <v>74</v>
      </c>
      <c r="F31" s="129">
        <v>60</v>
      </c>
      <c r="G31" s="130">
        <v>14</v>
      </c>
      <c r="H31" s="131">
        <v>177</v>
      </c>
      <c r="I31" s="131">
        <v>44</v>
      </c>
      <c r="J31" s="132">
        <v>133</v>
      </c>
      <c r="K31" s="134">
        <v>41.43426294820717</v>
      </c>
    </row>
    <row r="32" spans="1:11" ht="24" customHeight="1">
      <c r="A32" s="125">
        <v>29</v>
      </c>
      <c r="B32" s="126" t="s">
        <v>44</v>
      </c>
      <c r="C32" s="127">
        <v>312</v>
      </c>
      <c r="D32" s="128">
        <v>227</v>
      </c>
      <c r="E32" s="129">
        <v>30</v>
      </c>
      <c r="F32" s="129">
        <v>24</v>
      </c>
      <c r="G32" s="130">
        <v>6</v>
      </c>
      <c r="H32" s="131">
        <v>282</v>
      </c>
      <c r="I32" s="131">
        <v>99</v>
      </c>
      <c r="J32" s="132">
        <v>183</v>
      </c>
      <c r="K32" s="134">
        <v>39.42307692307692</v>
      </c>
    </row>
    <row r="33" spans="1:11" ht="24" customHeight="1">
      <c r="A33" s="125">
        <v>30</v>
      </c>
      <c r="B33" s="126" t="s">
        <v>66</v>
      </c>
      <c r="C33" s="127">
        <v>328</v>
      </c>
      <c r="D33" s="128">
        <v>365</v>
      </c>
      <c r="E33" s="129">
        <v>83</v>
      </c>
      <c r="F33" s="129">
        <v>62</v>
      </c>
      <c r="G33" s="130">
        <v>21</v>
      </c>
      <c r="H33" s="131">
        <v>245</v>
      </c>
      <c r="I33" s="131">
        <v>63</v>
      </c>
      <c r="J33" s="132">
        <v>182</v>
      </c>
      <c r="K33" s="136">
        <v>38.109756097560975</v>
      </c>
    </row>
    <row r="34" spans="1:11" ht="24" customHeight="1">
      <c r="A34" s="125">
        <v>31</v>
      </c>
      <c r="B34" s="126" t="s">
        <v>50</v>
      </c>
      <c r="C34" s="127">
        <v>248</v>
      </c>
      <c r="D34" s="128">
        <v>93</v>
      </c>
      <c r="E34" s="129">
        <v>34</v>
      </c>
      <c r="F34" s="129">
        <v>25</v>
      </c>
      <c r="G34" s="130">
        <v>9</v>
      </c>
      <c r="H34" s="131">
        <v>214</v>
      </c>
      <c r="I34" s="131">
        <v>49</v>
      </c>
      <c r="J34" s="132">
        <v>165</v>
      </c>
      <c r="K34" s="136">
        <v>29.838709677419356</v>
      </c>
    </row>
    <row r="35" spans="1:11" ht="24" customHeight="1">
      <c r="A35" s="125">
        <v>32</v>
      </c>
      <c r="B35" s="126" t="s">
        <v>53</v>
      </c>
      <c r="C35" s="127">
        <v>118</v>
      </c>
      <c r="D35" s="128">
        <v>73</v>
      </c>
      <c r="E35" s="129">
        <v>16</v>
      </c>
      <c r="F35" s="129">
        <v>16</v>
      </c>
      <c r="G35" s="130">
        <v>0</v>
      </c>
      <c r="H35" s="131">
        <v>102</v>
      </c>
      <c r="I35" s="131">
        <v>18</v>
      </c>
      <c r="J35" s="132">
        <v>84</v>
      </c>
      <c r="K35" s="136">
        <v>28.8135593220339</v>
      </c>
    </row>
    <row r="36" spans="1:11" ht="24" customHeight="1">
      <c r="A36" s="125">
        <v>33</v>
      </c>
      <c r="B36" s="126" t="s">
        <v>47</v>
      </c>
      <c r="C36" s="127">
        <v>424</v>
      </c>
      <c r="D36" s="128">
        <v>173</v>
      </c>
      <c r="E36" s="129">
        <v>34</v>
      </c>
      <c r="F36" s="129">
        <v>21</v>
      </c>
      <c r="G36" s="130">
        <v>13</v>
      </c>
      <c r="H36" s="131">
        <v>390</v>
      </c>
      <c r="I36" s="131">
        <v>67</v>
      </c>
      <c r="J36" s="132">
        <v>323</v>
      </c>
      <c r="K36" s="136">
        <v>20.754716981132077</v>
      </c>
    </row>
    <row r="37" spans="1:11" ht="24" customHeight="1">
      <c r="A37" s="125">
        <v>34</v>
      </c>
      <c r="B37" s="126" t="s">
        <v>41</v>
      </c>
      <c r="C37" s="127">
        <v>102</v>
      </c>
      <c r="D37" s="128">
        <v>17</v>
      </c>
      <c r="E37" s="129">
        <v>5</v>
      </c>
      <c r="F37" s="129">
        <v>1</v>
      </c>
      <c r="G37" s="130">
        <v>4</v>
      </c>
      <c r="H37" s="131">
        <v>97</v>
      </c>
      <c r="I37" s="131">
        <v>10</v>
      </c>
      <c r="J37" s="132">
        <v>87</v>
      </c>
      <c r="K37" s="136">
        <v>10.784313725490197</v>
      </c>
    </row>
    <row r="38" spans="1:11" ht="24" customHeight="1">
      <c r="A38" s="137" t="s">
        <v>164</v>
      </c>
      <c r="B38" s="137"/>
      <c r="C38" s="138">
        <f>SUM(C4:C37)</f>
        <v>8765</v>
      </c>
      <c r="D38" s="138">
        <f t="shared" ref="D38:J38" si="0">SUM(D4:D37)</f>
        <v>8057</v>
      </c>
      <c r="E38" s="138">
        <f t="shared" si="0"/>
        <v>1494</v>
      </c>
      <c r="F38" s="138">
        <f t="shared" si="0"/>
        <v>1204</v>
      </c>
      <c r="G38" s="139">
        <f t="shared" si="0"/>
        <v>290</v>
      </c>
      <c r="H38" s="138">
        <f t="shared" si="0"/>
        <v>7271</v>
      </c>
      <c r="I38" s="138">
        <f t="shared" si="0"/>
        <v>4345</v>
      </c>
      <c r="J38" s="140">
        <f t="shared" si="0"/>
        <v>2926</v>
      </c>
      <c r="K38" s="141">
        <f>IFERROR((F38+I38)*100/C38,0)</f>
        <v>63.308613804905875</v>
      </c>
    </row>
  </sheetData>
  <mergeCells count="9">
    <mergeCell ref="A38:B38"/>
    <mergeCell ref="A1:K1"/>
    <mergeCell ref="A2:A3"/>
    <mergeCell ref="B2:B3"/>
    <mergeCell ref="C2:C3"/>
    <mergeCell ref="D2:D3"/>
    <mergeCell ref="E2:G2"/>
    <mergeCell ref="H2:J2"/>
    <mergeCell ref="K2:K3"/>
  </mergeCells>
  <printOptions horizontalCentered="1"/>
  <pageMargins left="0.51181102362204722" right="0.51181102362204722" top="0.74803149606299213" bottom="0.74803149606299213" header="0.31496062992125984" footer="0.31496062992125984"/>
  <pageSetup paperSize="5" scale="8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E74BE-B16E-4B9F-BA7B-B5D60494E4C4}">
  <sheetPr codeName="Sheet44">
    <tabColor rgb="FF002060"/>
  </sheetPr>
  <dimension ref="A1:K38"/>
  <sheetViews>
    <sheetView topLeftCell="A37" workbookViewId="0">
      <selection activeCell="J4" sqref="J4:J38"/>
    </sheetView>
  </sheetViews>
  <sheetFormatPr defaultColWidth="9.109375" defaultRowHeight="14.4"/>
  <cols>
    <col min="1" max="1" width="5.21875" customWidth="1"/>
    <col min="2" max="2" width="20.109375" customWidth="1"/>
    <col min="3" max="3" width="6.44140625" bestFit="1" customWidth="1"/>
    <col min="4" max="4" width="10.44140625" bestFit="1" customWidth="1"/>
    <col min="5" max="5" width="10" customWidth="1"/>
    <col min="6" max="6" width="9.77734375" customWidth="1"/>
    <col min="7" max="7" width="10.77734375" style="142" customWidth="1"/>
    <col min="8" max="8" width="9.44140625" bestFit="1" customWidth="1"/>
    <col min="11" max="11" width="14.88671875" customWidth="1"/>
  </cols>
  <sheetData>
    <row r="1" spans="1:11" ht="30" customHeight="1">
      <c r="A1" s="116" t="str">
        <f ca="1">"CHITTOOR DISTRICT E SAKSHYA IDS CREATED FOR FIRS FROM 01-10-2025 TO "&amp;TEXT(TODAY()-1,"dd-mm-yyyy")</f>
        <v>CHITTOOR DISTRICT E SAKSHYA IDS CREATED FOR FIRS FROM 01-10-2025 TO 02-06-2026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</row>
    <row r="2" spans="1:11" ht="21.6" customHeight="1">
      <c r="A2" s="117" t="s">
        <v>151</v>
      </c>
      <c r="B2" s="117" t="s">
        <v>152</v>
      </c>
      <c r="C2" s="11" t="s">
        <v>153</v>
      </c>
      <c r="D2" s="118" t="s">
        <v>154</v>
      </c>
      <c r="E2" s="119" t="s">
        <v>155</v>
      </c>
      <c r="F2" s="119"/>
      <c r="G2" s="119"/>
      <c r="H2" s="120" t="s">
        <v>156</v>
      </c>
      <c r="I2" s="120"/>
      <c r="J2" s="120"/>
      <c r="K2" s="121" t="s">
        <v>157</v>
      </c>
    </row>
    <row r="3" spans="1:11" ht="51.6" customHeight="1">
      <c r="A3" s="122"/>
      <c r="B3" s="122"/>
      <c r="C3" s="11"/>
      <c r="D3" s="118"/>
      <c r="E3" s="29" t="s">
        <v>158</v>
      </c>
      <c r="F3" s="29" t="s">
        <v>159</v>
      </c>
      <c r="G3" s="123" t="s">
        <v>160</v>
      </c>
      <c r="H3" s="124" t="s">
        <v>161</v>
      </c>
      <c r="I3" s="124" t="s">
        <v>162</v>
      </c>
      <c r="J3" s="124" t="s">
        <v>163</v>
      </c>
      <c r="K3" s="121"/>
    </row>
    <row r="4" spans="1:11" ht="24" customHeight="1">
      <c r="A4" s="125">
        <v>1</v>
      </c>
      <c r="B4" s="126" t="s">
        <v>58</v>
      </c>
      <c r="C4" s="127">
        <v>63</v>
      </c>
      <c r="D4" s="128">
        <v>73</v>
      </c>
      <c r="E4" s="129">
        <v>6</v>
      </c>
      <c r="F4" s="129">
        <v>6</v>
      </c>
      <c r="G4" s="130">
        <v>0</v>
      </c>
      <c r="H4" s="131">
        <v>57</v>
      </c>
      <c r="I4" s="131">
        <v>57</v>
      </c>
      <c r="J4" s="132">
        <v>0</v>
      </c>
      <c r="K4" s="133">
        <v>100</v>
      </c>
    </row>
    <row r="5" spans="1:11" ht="24" customHeight="1">
      <c r="A5" s="125">
        <v>2</v>
      </c>
      <c r="B5" s="126" t="s">
        <v>60</v>
      </c>
      <c r="C5" s="127">
        <v>77</v>
      </c>
      <c r="D5" s="128">
        <v>114</v>
      </c>
      <c r="E5" s="129">
        <v>21</v>
      </c>
      <c r="F5" s="129">
        <v>20</v>
      </c>
      <c r="G5" s="130">
        <v>1</v>
      </c>
      <c r="H5" s="131">
        <v>56</v>
      </c>
      <c r="I5" s="131">
        <v>56</v>
      </c>
      <c r="J5" s="132">
        <v>0</v>
      </c>
      <c r="K5" s="133">
        <v>98.701298701298697</v>
      </c>
    </row>
    <row r="6" spans="1:11" ht="24" customHeight="1">
      <c r="A6" s="125">
        <v>3</v>
      </c>
      <c r="B6" s="126" t="s">
        <v>67</v>
      </c>
      <c r="C6" s="127">
        <v>62</v>
      </c>
      <c r="D6" s="128">
        <v>152</v>
      </c>
      <c r="E6" s="129">
        <v>19</v>
      </c>
      <c r="F6" s="129">
        <v>18</v>
      </c>
      <c r="G6" s="130">
        <v>1</v>
      </c>
      <c r="H6" s="131">
        <v>43</v>
      </c>
      <c r="I6" s="131">
        <v>43</v>
      </c>
      <c r="J6" s="132">
        <v>0</v>
      </c>
      <c r="K6" s="133">
        <v>98.387096774193552</v>
      </c>
    </row>
    <row r="7" spans="1:11" ht="24" customHeight="1">
      <c r="A7" s="125">
        <v>4</v>
      </c>
      <c r="B7" s="126" t="s">
        <v>54</v>
      </c>
      <c r="C7" s="127">
        <v>102</v>
      </c>
      <c r="D7" s="128">
        <v>166</v>
      </c>
      <c r="E7" s="129">
        <v>22</v>
      </c>
      <c r="F7" s="129">
        <v>20</v>
      </c>
      <c r="G7" s="130">
        <v>2</v>
      </c>
      <c r="H7" s="131">
        <v>80</v>
      </c>
      <c r="I7" s="131">
        <v>80</v>
      </c>
      <c r="J7" s="132">
        <v>0</v>
      </c>
      <c r="K7" s="133">
        <v>98.039215686274517</v>
      </c>
    </row>
    <row r="8" spans="1:11" ht="24" customHeight="1">
      <c r="A8" s="125">
        <v>5</v>
      </c>
      <c r="B8" s="126" t="s">
        <v>48</v>
      </c>
      <c r="C8" s="127">
        <v>71</v>
      </c>
      <c r="D8" s="128">
        <v>107</v>
      </c>
      <c r="E8" s="129">
        <v>14</v>
      </c>
      <c r="F8" s="129">
        <v>12</v>
      </c>
      <c r="G8" s="130">
        <v>2</v>
      </c>
      <c r="H8" s="131">
        <v>57</v>
      </c>
      <c r="I8" s="131">
        <v>57</v>
      </c>
      <c r="J8" s="132">
        <v>0</v>
      </c>
      <c r="K8" s="133">
        <v>97.183098591549296</v>
      </c>
    </row>
    <row r="9" spans="1:11" ht="24" customHeight="1">
      <c r="A9" s="125">
        <v>6</v>
      </c>
      <c r="B9" s="126" t="s">
        <v>42</v>
      </c>
      <c r="C9" s="127">
        <v>66</v>
      </c>
      <c r="D9" s="128">
        <v>80</v>
      </c>
      <c r="E9" s="129">
        <v>12</v>
      </c>
      <c r="F9" s="129">
        <v>10</v>
      </c>
      <c r="G9" s="130">
        <v>2</v>
      </c>
      <c r="H9" s="131">
        <v>54</v>
      </c>
      <c r="I9" s="131">
        <v>54</v>
      </c>
      <c r="J9" s="132">
        <v>0</v>
      </c>
      <c r="K9" s="134">
        <v>96.969696969696969</v>
      </c>
    </row>
    <row r="10" spans="1:11" ht="24" customHeight="1">
      <c r="A10" s="125">
        <v>7</v>
      </c>
      <c r="B10" s="126" t="s">
        <v>51</v>
      </c>
      <c r="C10" s="127">
        <v>75</v>
      </c>
      <c r="D10" s="128">
        <v>129</v>
      </c>
      <c r="E10" s="129">
        <v>18</v>
      </c>
      <c r="F10" s="129">
        <v>14</v>
      </c>
      <c r="G10" s="130">
        <v>4</v>
      </c>
      <c r="H10" s="131">
        <v>57</v>
      </c>
      <c r="I10" s="131">
        <v>57</v>
      </c>
      <c r="J10" s="132">
        <v>0</v>
      </c>
      <c r="K10" s="134">
        <v>94.666666666666671</v>
      </c>
    </row>
    <row r="11" spans="1:11" ht="24" customHeight="1">
      <c r="A11" s="125">
        <v>8</v>
      </c>
      <c r="B11" s="126" t="s">
        <v>53</v>
      </c>
      <c r="C11" s="127">
        <v>31</v>
      </c>
      <c r="D11" s="128">
        <v>68</v>
      </c>
      <c r="E11" s="129">
        <v>14</v>
      </c>
      <c r="F11" s="129">
        <v>14</v>
      </c>
      <c r="G11" s="130">
        <v>0</v>
      </c>
      <c r="H11" s="131">
        <v>17</v>
      </c>
      <c r="I11" s="131">
        <v>15</v>
      </c>
      <c r="J11" s="132">
        <v>2</v>
      </c>
      <c r="K11" s="134">
        <v>93.548387096774192</v>
      </c>
    </row>
    <row r="12" spans="1:11" ht="24" customHeight="1">
      <c r="A12" s="125">
        <v>9</v>
      </c>
      <c r="B12" s="126" t="s">
        <v>61</v>
      </c>
      <c r="C12" s="127">
        <v>31</v>
      </c>
      <c r="D12" s="128">
        <v>38</v>
      </c>
      <c r="E12" s="129">
        <v>5</v>
      </c>
      <c r="F12" s="129">
        <v>5</v>
      </c>
      <c r="G12" s="130">
        <v>0</v>
      </c>
      <c r="H12" s="131">
        <v>26</v>
      </c>
      <c r="I12" s="131">
        <v>24</v>
      </c>
      <c r="J12" s="132">
        <v>2</v>
      </c>
      <c r="K12" s="134">
        <v>93.548387096774192</v>
      </c>
    </row>
    <row r="13" spans="1:11" ht="24" customHeight="1">
      <c r="A13" s="125">
        <v>10</v>
      </c>
      <c r="B13" s="126" t="s">
        <v>64</v>
      </c>
      <c r="C13" s="127">
        <v>102</v>
      </c>
      <c r="D13" s="128">
        <v>104</v>
      </c>
      <c r="E13" s="129">
        <v>41</v>
      </c>
      <c r="F13" s="129">
        <v>34</v>
      </c>
      <c r="G13" s="130">
        <v>7</v>
      </c>
      <c r="H13" s="131">
        <v>61</v>
      </c>
      <c r="I13" s="131">
        <v>61</v>
      </c>
      <c r="J13" s="132">
        <v>0</v>
      </c>
      <c r="K13" s="134">
        <v>93.137254901960787</v>
      </c>
    </row>
    <row r="14" spans="1:11" ht="24" customHeight="1">
      <c r="A14" s="125">
        <v>11</v>
      </c>
      <c r="B14" s="126" t="s">
        <v>56</v>
      </c>
      <c r="C14" s="127">
        <v>55</v>
      </c>
      <c r="D14" s="128">
        <v>226</v>
      </c>
      <c r="E14" s="129">
        <v>17</v>
      </c>
      <c r="F14" s="129">
        <v>16</v>
      </c>
      <c r="G14" s="130">
        <v>1</v>
      </c>
      <c r="H14" s="131">
        <v>38</v>
      </c>
      <c r="I14" s="131">
        <v>35</v>
      </c>
      <c r="J14" s="132">
        <v>3</v>
      </c>
      <c r="K14" s="134">
        <v>92.727272727272734</v>
      </c>
    </row>
    <row r="15" spans="1:11" ht="24" customHeight="1">
      <c r="A15" s="125">
        <v>12</v>
      </c>
      <c r="B15" s="126" t="s">
        <v>72</v>
      </c>
      <c r="C15" s="127">
        <v>42</v>
      </c>
      <c r="D15" s="128">
        <v>41</v>
      </c>
      <c r="E15" s="129">
        <v>24</v>
      </c>
      <c r="F15" s="129">
        <v>20</v>
      </c>
      <c r="G15" s="130">
        <v>4</v>
      </c>
      <c r="H15" s="131">
        <v>18</v>
      </c>
      <c r="I15" s="131">
        <v>18</v>
      </c>
      <c r="J15" s="132">
        <v>0</v>
      </c>
      <c r="K15" s="134">
        <v>90.476190476190482</v>
      </c>
    </row>
    <row r="16" spans="1:11" ht="24" customHeight="1">
      <c r="A16" s="125">
        <v>13</v>
      </c>
      <c r="B16" s="135" t="s">
        <v>65</v>
      </c>
      <c r="C16" s="127">
        <v>35</v>
      </c>
      <c r="D16" s="128">
        <v>44</v>
      </c>
      <c r="E16" s="129">
        <v>6</v>
      </c>
      <c r="F16" s="129">
        <v>4</v>
      </c>
      <c r="G16" s="130">
        <v>2</v>
      </c>
      <c r="H16" s="131">
        <v>29</v>
      </c>
      <c r="I16" s="131">
        <v>27</v>
      </c>
      <c r="J16" s="132">
        <v>2</v>
      </c>
      <c r="K16" s="134">
        <v>88.571428571428569</v>
      </c>
    </row>
    <row r="17" spans="1:11" ht="24" customHeight="1">
      <c r="A17" s="125">
        <v>14</v>
      </c>
      <c r="B17" s="126" t="s">
        <v>62</v>
      </c>
      <c r="C17" s="127">
        <v>90</v>
      </c>
      <c r="D17" s="128">
        <v>223</v>
      </c>
      <c r="E17" s="129">
        <v>39</v>
      </c>
      <c r="F17" s="129">
        <v>31</v>
      </c>
      <c r="G17" s="130">
        <v>8</v>
      </c>
      <c r="H17" s="131">
        <v>51</v>
      </c>
      <c r="I17" s="131">
        <v>46</v>
      </c>
      <c r="J17" s="132">
        <v>5</v>
      </c>
      <c r="K17" s="134">
        <v>85.555555555555557</v>
      </c>
    </row>
    <row r="18" spans="1:11" ht="24" customHeight="1">
      <c r="A18" s="125">
        <v>15</v>
      </c>
      <c r="B18" s="126" t="s">
        <v>70</v>
      </c>
      <c r="C18" s="127">
        <v>80</v>
      </c>
      <c r="D18" s="128">
        <v>76</v>
      </c>
      <c r="E18" s="129">
        <v>28</v>
      </c>
      <c r="F18" s="129">
        <v>26</v>
      </c>
      <c r="G18" s="130">
        <v>2</v>
      </c>
      <c r="H18" s="131">
        <v>52</v>
      </c>
      <c r="I18" s="131">
        <v>42</v>
      </c>
      <c r="J18" s="132">
        <v>10</v>
      </c>
      <c r="K18" s="134">
        <v>85</v>
      </c>
    </row>
    <row r="19" spans="1:11" ht="24" customHeight="1">
      <c r="A19" s="125">
        <v>16</v>
      </c>
      <c r="B19" s="126" t="s">
        <v>45</v>
      </c>
      <c r="C19" s="127">
        <v>36</v>
      </c>
      <c r="D19" s="128">
        <v>58</v>
      </c>
      <c r="E19" s="129">
        <v>12</v>
      </c>
      <c r="F19" s="129">
        <v>7</v>
      </c>
      <c r="G19" s="130">
        <v>5</v>
      </c>
      <c r="H19" s="131">
        <v>24</v>
      </c>
      <c r="I19" s="131">
        <v>23</v>
      </c>
      <c r="J19" s="132">
        <v>1</v>
      </c>
      <c r="K19" s="134">
        <v>83.333333333333329</v>
      </c>
    </row>
    <row r="20" spans="1:11" ht="24" customHeight="1">
      <c r="A20" s="125">
        <v>17</v>
      </c>
      <c r="B20" s="126" t="s">
        <v>71</v>
      </c>
      <c r="C20" s="127">
        <v>115</v>
      </c>
      <c r="D20" s="128">
        <v>198</v>
      </c>
      <c r="E20" s="129">
        <v>44</v>
      </c>
      <c r="F20" s="129">
        <v>35</v>
      </c>
      <c r="G20" s="130">
        <v>9</v>
      </c>
      <c r="H20" s="131">
        <v>71</v>
      </c>
      <c r="I20" s="131">
        <v>60</v>
      </c>
      <c r="J20" s="132">
        <v>11</v>
      </c>
      <c r="K20" s="134">
        <v>82.608695652173907</v>
      </c>
    </row>
    <row r="21" spans="1:11" ht="24" customHeight="1">
      <c r="A21" s="125">
        <v>18</v>
      </c>
      <c r="B21" s="126" t="s">
        <v>46</v>
      </c>
      <c r="C21" s="127">
        <v>44</v>
      </c>
      <c r="D21" s="128">
        <v>47</v>
      </c>
      <c r="E21" s="129">
        <v>19</v>
      </c>
      <c r="F21" s="129">
        <v>15</v>
      </c>
      <c r="G21" s="130">
        <v>4</v>
      </c>
      <c r="H21" s="131">
        <v>25</v>
      </c>
      <c r="I21" s="131">
        <v>21</v>
      </c>
      <c r="J21" s="132">
        <v>4</v>
      </c>
      <c r="K21" s="134">
        <v>81.818181818181813</v>
      </c>
    </row>
    <row r="22" spans="1:11" ht="24" customHeight="1">
      <c r="A22" s="125">
        <v>19</v>
      </c>
      <c r="B22" s="126" t="s">
        <v>66</v>
      </c>
      <c r="C22" s="127">
        <v>98</v>
      </c>
      <c r="D22" s="128">
        <v>272</v>
      </c>
      <c r="E22" s="129">
        <v>46</v>
      </c>
      <c r="F22" s="129">
        <v>41</v>
      </c>
      <c r="G22" s="130">
        <v>5</v>
      </c>
      <c r="H22" s="131">
        <v>52</v>
      </c>
      <c r="I22" s="131">
        <v>39</v>
      </c>
      <c r="J22" s="132">
        <v>13</v>
      </c>
      <c r="K22" s="134">
        <v>81.632653061224488</v>
      </c>
    </row>
    <row r="23" spans="1:11" ht="24" customHeight="1">
      <c r="A23" s="125">
        <v>20</v>
      </c>
      <c r="B23" s="126" t="s">
        <v>43</v>
      </c>
      <c r="C23" s="127">
        <v>161</v>
      </c>
      <c r="D23" s="128">
        <v>229</v>
      </c>
      <c r="E23" s="129">
        <v>54</v>
      </c>
      <c r="F23" s="129">
        <v>44</v>
      </c>
      <c r="G23" s="130">
        <v>10</v>
      </c>
      <c r="H23" s="131">
        <v>107</v>
      </c>
      <c r="I23" s="131">
        <v>87</v>
      </c>
      <c r="J23" s="132">
        <v>20</v>
      </c>
      <c r="K23" s="134">
        <v>81.366459627329192</v>
      </c>
    </row>
    <row r="24" spans="1:11" ht="24" customHeight="1">
      <c r="A24" s="125">
        <v>21</v>
      </c>
      <c r="B24" s="126" t="s">
        <v>73</v>
      </c>
      <c r="C24" s="127">
        <v>47</v>
      </c>
      <c r="D24" s="128">
        <v>39</v>
      </c>
      <c r="E24" s="129">
        <v>26</v>
      </c>
      <c r="F24" s="129">
        <v>25</v>
      </c>
      <c r="G24" s="130">
        <v>1</v>
      </c>
      <c r="H24" s="131">
        <v>21</v>
      </c>
      <c r="I24" s="131">
        <v>13</v>
      </c>
      <c r="J24" s="132">
        <v>8</v>
      </c>
      <c r="K24" s="134">
        <v>80.851063829787236</v>
      </c>
    </row>
    <row r="25" spans="1:11" ht="24" customHeight="1">
      <c r="A25" s="125">
        <v>22</v>
      </c>
      <c r="B25" s="126" t="s">
        <v>69</v>
      </c>
      <c r="C25" s="127">
        <v>77</v>
      </c>
      <c r="D25" s="128">
        <v>163</v>
      </c>
      <c r="E25" s="129">
        <v>22</v>
      </c>
      <c r="F25" s="129">
        <v>19</v>
      </c>
      <c r="G25" s="130">
        <v>3</v>
      </c>
      <c r="H25" s="131">
        <v>55</v>
      </c>
      <c r="I25" s="131">
        <v>41</v>
      </c>
      <c r="J25" s="132">
        <v>14</v>
      </c>
      <c r="K25" s="134">
        <v>77.922077922077918</v>
      </c>
    </row>
    <row r="26" spans="1:11" ht="24" customHeight="1">
      <c r="A26" s="125">
        <v>23</v>
      </c>
      <c r="B26" s="126" t="s">
        <v>55</v>
      </c>
      <c r="C26" s="127">
        <v>44</v>
      </c>
      <c r="D26" s="128">
        <v>63</v>
      </c>
      <c r="E26" s="129">
        <v>16</v>
      </c>
      <c r="F26" s="129">
        <v>13</v>
      </c>
      <c r="G26" s="130">
        <v>3</v>
      </c>
      <c r="H26" s="131">
        <v>28</v>
      </c>
      <c r="I26" s="131">
        <v>21</v>
      </c>
      <c r="J26" s="132">
        <v>7</v>
      </c>
      <c r="K26" s="134">
        <v>77.272727272727266</v>
      </c>
    </row>
    <row r="27" spans="1:11" ht="24" customHeight="1">
      <c r="A27" s="125">
        <v>24</v>
      </c>
      <c r="B27" s="126" t="s">
        <v>63</v>
      </c>
      <c r="C27" s="127">
        <v>83</v>
      </c>
      <c r="D27" s="128">
        <v>93</v>
      </c>
      <c r="E27" s="129">
        <v>42</v>
      </c>
      <c r="F27" s="129">
        <v>34</v>
      </c>
      <c r="G27" s="130">
        <v>8</v>
      </c>
      <c r="H27" s="131">
        <v>41</v>
      </c>
      <c r="I27" s="131">
        <v>30</v>
      </c>
      <c r="J27" s="132">
        <v>11</v>
      </c>
      <c r="K27" s="134">
        <v>77.108433734939766</v>
      </c>
    </row>
    <row r="28" spans="1:11" ht="24" customHeight="1">
      <c r="A28" s="125">
        <v>25</v>
      </c>
      <c r="B28" s="126" t="s">
        <v>52</v>
      </c>
      <c r="C28" s="127">
        <v>68</v>
      </c>
      <c r="D28" s="128">
        <v>116</v>
      </c>
      <c r="E28" s="129">
        <v>24</v>
      </c>
      <c r="F28" s="129">
        <v>12</v>
      </c>
      <c r="G28" s="130">
        <v>12</v>
      </c>
      <c r="H28" s="131">
        <v>44</v>
      </c>
      <c r="I28" s="131">
        <v>39</v>
      </c>
      <c r="J28" s="132">
        <v>5</v>
      </c>
      <c r="K28" s="134">
        <v>75</v>
      </c>
    </row>
    <row r="29" spans="1:11" ht="24" customHeight="1">
      <c r="A29" s="125">
        <v>26</v>
      </c>
      <c r="B29" s="126" t="s">
        <v>59</v>
      </c>
      <c r="C29" s="127">
        <v>151</v>
      </c>
      <c r="D29" s="128">
        <v>169</v>
      </c>
      <c r="E29" s="129">
        <v>73</v>
      </c>
      <c r="F29" s="129">
        <v>62</v>
      </c>
      <c r="G29" s="130">
        <v>11</v>
      </c>
      <c r="H29" s="131">
        <v>78</v>
      </c>
      <c r="I29" s="131">
        <v>48</v>
      </c>
      <c r="J29" s="132">
        <v>30</v>
      </c>
      <c r="K29" s="134">
        <v>72.847682119205302</v>
      </c>
    </row>
    <row r="30" spans="1:11" ht="24" customHeight="1">
      <c r="A30" s="125">
        <v>27</v>
      </c>
      <c r="B30" s="126" t="s">
        <v>68</v>
      </c>
      <c r="C30" s="127">
        <v>71</v>
      </c>
      <c r="D30" s="128">
        <v>71</v>
      </c>
      <c r="E30" s="129">
        <v>34</v>
      </c>
      <c r="F30" s="129">
        <v>23</v>
      </c>
      <c r="G30" s="130">
        <v>11</v>
      </c>
      <c r="H30" s="131">
        <v>37</v>
      </c>
      <c r="I30" s="131">
        <v>27</v>
      </c>
      <c r="J30" s="132">
        <v>10</v>
      </c>
      <c r="K30" s="134">
        <v>70.422535211267601</v>
      </c>
    </row>
    <row r="31" spans="1:11" ht="24" customHeight="1">
      <c r="A31" s="125">
        <v>28</v>
      </c>
      <c r="B31" s="126" t="s">
        <v>57</v>
      </c>
      <c r="C31" s="127">
        <v>186</v>
      </c>
      <c r="D31" s="128">
        <v>207</v>
      </c>
      <c r="E31" s="129">
        <v>97</v>
      </c>
      <c r="F31" s="129">
        <v>74</v>
      </c>
      <c r="G31" s="130">
        <v>23</v>
      </c>
      <c r="H31" s="131">
        <v>89</v>
      </c>
      <c r="I31" s="131">
        <v>56</v>
      </c>
      <c r="J31" s="132">
        <v>33</v>
      </c>
      <c r="K31" s="134">
        <v>69.892473118279568</v>
      </c>
    </row>
    <row r="32" spans="1:11" ht="24" customHeight="1">
      <c r="A32" s="125">
        <v>29</v>
      </c>
      <c r="B32" s="126" t="s">
        <v>44</v>
      </c>
      <c r="C32" s="127">
        <v>90</v>
      </c>
      <c r="D32" s="128">
        <v>153</v>
      </c>
      <c r="E32" s="129">
        <v>21</v>
      </c>
      <c r="F32" s="129">
        <v>17</v>
      </c>
      <c r="G32" s="130">
        <v>4</v>
      </c>
      <c r="H32" s="131">
        <v>69</v>
      </c>
      <c r="I32" s="131">
        <v>44</v>
      </c>
      <c r="J32" s="132">
        <v>25</v>
      </c>
      <c r="K32" s="136">
        <v>67.777777777777771</v>
      </c>
    </row>
    <row r="33" spans="1:11" ht="24" customHeight="1">
      <c r="A33" s="125">
        <v>30</v>
      </c>
      <c r="B33" s="126" t="s">
        <v>49</v>
      </c>
      <c r="C33" s="127">
        <v>133</v>
      </c>
      <c r="D33" s="128">
        <v>133</v>
      </c>
      <c r="E33" s="129">
        <v>28</v>
      </c>
      <c r="F33" s="129">
        <v>20</v>
      </c>
      <c r="G33" s="130">
        <v>8</v>
      </c>
      <c r="H33" s="131">
        <v>105</v>
      </c>
      <c r="I33" s="131">
        <v>62</v>
      </c>
      <c r="J33" s="132">
        <v>43</v>
      </c>
      <c r="K33" s="136">
        <v>61.654135338345867</v>
      </c>
    </row>
    <row r="34" spans="1:11" ht="24" customHeight="1">
      <c r="A34" s="125">
        <v>31</v>
      </c>
      <c r="B34" s="126" t="s">
        <v>50</v>
      </c>
      <c r="C34" s="127">
        <v>85</v>
      </c>
      <c r="D34" s="128">
        <v>67</v>
      </c>
      <c r="E34" s="129">
        <v>25</v>
      </c>
      <c r="F34" s="129">
        <v>19</v>
      </c>
      <c r="G34" s="130">
        <v>6</v>
      </c>
      <c r="H34" s="131">
        <v>60</v>
      </c>
      <c r="I34" s="131">
        <v>32</v>
      </c>
      <c r="J34" s="132">
        <v>28</v>
      </c>
      <c r="K34" s="136">
        <v>60</v>
      </c>
    </row>
    <row r="35" spans="1:11" ht="24" customHeight="1">
      <c r="A35" s="125">
        <v>32</v>
      </c>
      <c r="B35" s="126" t="s">
        <v>47</v>
      </c>
      <c r="C35" s="127">
        <v>120</v>
      </c>
      <c r="D35" s="128">
        <v>142</v>
      </c>
      <c r="E35" s="129">
        <v>21</v>
      </c>
      <c r="F35" s="129">
        <v>14</v>
      </c>
      <c r="G35" s="130">
        <v>7</v>
      </c>
      <c r="H35" s="131">
        <v>99</v>
      </c>
      <c r="I35" s="131">
        <v>56</v>
      </c>
      <c r="J35" s="132">
        <v>43</v>
      </c>
      <c r="K35" s="136">
        <v>58.333333333333336</v>
      </c>
    </row>
    <row r="36" spans="1:11" ht="24" customHeight="1">
      <c r="A36" s="125">
        <v>33</v>
      </c>
      <c r="B36" s="126" t="s">
        <v>41</v>
      </c>
      <c r="C36" s="127">
        <v>37</v>
      </c>
      <c r="D36" s="128">
        <v>14</v>
      </c>
      <c r="E36" s="129">
        <v>4</v>
      </c>
      <c r="F36" s="129">
        <v>1</v>
      </c>
      <c r="G36" s="130">
        <v>3</v>
      </c>
      <c r="H36" s="131">
        <v>33</v>
      </c>
      <c r="I36" s="131">
        <v>9</v>
      </c>
      <c r="J36" s="132">
        <v>24</v>
      </c>
      <c r="K36" s="136">
        <v>27.027027027027028</v>
      </c>
    </row>
    <row r="37" spans="1:11" ht="24" customHeight="1">
      <c r="A37" s="125">
        <v>34</v>
      </c>
      <c r="B37" s="126" t="s">
        <v>74</v>
      </c>
      <c r="C37" s="127">
        <v>0</v>
      </c>
      <c r="D37" s="128">
        <v>0</v>
      </c>
      <c r="E37" s="129">
        <v>0</v>
      </c>
      <c r="F37" s="129">
        <v>0</v>
      </c>
      <c r="G37" s="130">
        <v>0</v>
      </c>
      <c r="H37" s="131">
        <v>0</v>
      </c>
      <c r="I37" s="131">
        <v>0</v>
      </c>
      <c r="J37" s="132">
        <v>0</v>
      </c>
      <c r="K37" s="134">
        <v>0</v>
      </c>
    </row>
    <row r="38" spans="1:11" ht="24" customHeight="1">
      <c r="A38" s="137" t="s">
        <v>164</v>
      </c>
      <c r="B38" s="137"/>
      <c r="C38" s="138">
        <f>SUM(C4:C37)</f>
        <v>2628</v>
      </c>
      <c r="D38" s="138">
        <f t="shared" ref="D38:J38" si="0">SUM(D4:D37)</f>
        <v>3875</v>
      </c>
      <c r="E38" s="138">
        <f t="shared" si="0"/>
        <v>894</v>
      </c>
      <c r="F38" s="138">
        <f t="shared" si="0"/>
        <v>725</v>
      </c>
      <c r="G38" s="139">
        <f t="shared" si="0"/>
        <v>169</v>
      </c>
      <c r="H38" s="138">
        <f t="shared" si="0"/>
        <v>1734</v>
      </c>
      <c r="I38" s="138">
        <f t="shared" si="0"/>
        <v>1380</v>
      </c>
      <c r="J38" s="140">
        <f t="shared" si="0"/>
        <v>354</v>
      </c>
      <c r="K38" s="141">
        <f>IFERROR((F38+I38)*100/C38,0)</f>
        <v>80.098934550989341</v>
      </c>
    </row>
  </sheetData>
  <mergeCells count="9">
    <mergeCell ref="A38:B38"/>
    <mergeCell ref="A1:K1"/>
    <mergeCell ref="A2:A3"/>
    <mergeCell ref="B2:B3"/>
    <mergeCell ref="C2:C3"/>
    <mergeCell ref="D2:D3"/>
    <mergeCell ref="E2:G2"/>
    <mergeCell ref="H2:J2"/>
    <mergeCell ref="K2:K3"/>
  </mergeCells>
  <printOptions horizontalCentered="1"/>
  <pageMargins left="0.51181102362204722" right="0.51181102362204722" top="0.74803149606299213" bottom="0.74803149606299213" header="0.31496062992125984" footer="0.31496062992125984"/>
  <pageSetup paperSize="5" scale="8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8C7D-F26A-45C9-BF12-12110310186C}">
  <sheetPr codeName="Sheet11">
    <tabColor theme="7" tint="-0.249977111117893"/>
  </sheetPr>
  <dimension ref="A1:R37"/>
  <sheetViews>
    <sheetView topLeftCell="A13" workbookViewId="0">
      <selection activeCell="M28" sqref="M28"/>
    </sheetView>
  </sheetViews>
  <sheetFormatPr defaultRowHeight="14.4"/>
  <cols>
    <col min="1" max="1" width="8.88671875" style="51"/>
    <col min="2" max="2" width="27" bestFit="1" customWidth="1"/>
    <col min="3" max="3" width="8.88671875" style="51"/>
    <col min="4" max="4" width="16.44140625" style="51" customWidth="1"/>
    <col min="5" max="7" width="8.88671875" style="51"/>
    <col min="8" max="8" width="11.6640625" style="51" customWidth="1"/>
    <col min="9" max="11" width="8.88671875" style="51"/>
    <col min="12" max="12" width="12.77734375" style="51" customWidth="1"/>
    <col min="13" max="14" width="13.44140625" style="51" customWidth="1"/>
  </cols>
  <sheetData>
    <row r="1" spans="1:18" ht="23.4" customHeight="1">
      <c r="A1" s="143" t="str">
        <f ca="1">"ITSSO ( INVESTIGATION TRACKING SYSTEM FOR SEXUAL OFFENCES OF CHITTOOR DISTRICT - PS WISE  FROM 01-07-2024 TO "&amp;TEXT(TODAY()-1,"dd-mm-yyyy")</f>
        <v>ITSSO ( INVESTIGATION TRACKING SYSTEM FOR SEXUAL OFFENCES OF CHITTOOR DISTRICT - PS WISE  FROM 01-07-2024 TO 02-06-2026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4"/>
    </row>
    <row r="2" spans="1:18" ht="78">
      <c r="A2" s="145" t="s">
        <v>165</v>
      </c>
      <c r="B2" s="146" t="s">
        <v>142</v>
      </c>
      <c r="C2" s="147" t="s">
        <v>166</v>
      </c>
      <c r="D2" s="147" t="s">
        <v>167</v>
      </c>
      <c r="E2" s="147" t="s">
        <v>168</v>
      </c>
      <c r="F2" s="147" t="s">
        <v>169</v>
      </c>
      <c r="G2" s="147" t="s">
        <v>170</v>
      </c>
      <c r="H2" s="147" t="s">
        <v>171</v>
      </c>
      <c r="I2" s="147" t="s">
        <v>168</v>
      </c>
      <c r="J2" s="147" t="s">
        <v>170</v>
      </c>
      <c r="K2" s="147" t="s">
        <v>172</v>
      </c>
      <c r="L2" s="147" t="s">
        <v>173</v>
      </c>
      <c r="M2" s="147" t="s">
        <v>174</v>
      </c>
      <c r="N2" s="148"/>
    </row>
    <row r="3" spans="1:18" s="3" customFormat="1" ht="19.95" customHeight="1">
      <c r="A3" s="125">
        <v>1</v>
      </c>
      <c r="B3" s="135" t="s">
        <v>175</v>
      </c>
      <c r="C3" s="149">
        <v>4</v>
      </c>
      <c r="D3" s="149">
        <v>3</v>
      </c>
      <c r="E3" s="149">
        <v>3</v>
      </c>
      <c r="F3" s="149">
        <v>0</v>
      </c>
      <c r="G3" s="149">
        <v>0</v>
      </c>
      <c r="H3" s="149">
        <v>1</v>
      </c>
      <c r="I3" s="149">
        <v>0</v>
      </c>
      <c r="J3" s="149">
        <v>1</v>
      </c>
      <c r="K3" s="149">
        <v>3</v>
      </c>
      <c r="L3" s="150">
        <v>75</v>
      </c>
      <c r="M3" s="151">
        <v>100</v>
      </c>
      <c r="N3" s="152"/>
      <c r="O3" s="3">
        <f>IFERROR((E3+F3+I3)*100/C3,0)</f>
        <v>75</v>
      </c>
      <c r="P3" s="3" t="b">
        <f>L3=O3</f>
        <v>1</v>
      </c>
      <c r="Q3" s="150">
        <f>IFERROR(E3*100/D3,0)</f>
        <v>100</v>
      </c>
      <c r="R3" s="3" t="b">
        <f>M3=Q3</f>
        <v>1</v>
      </c>
    </row>
    <row r="4" spans="1:18" s="3" customFormat="1" ht="19.95" customHeight="1">
      <c r="A4" s="125">
        <v>2</v>
      </c>
      <c r="B4" s="135" t="s">
        <v>176</v>
      </c>
      <c r="C4" s="149">
        <v>3</v>
      </c>
      <c r="D4" s="149">
        <v>3</v>
      </c>
      <c r="E4" s="149">
        <v>3</v>
      </c>
      <c r="F4" s="149">
        <v>0</v>
      </c>
      <c r="G4" s="149">
        <v>0</v>
      </c>
      <c r="H4" s="149">
        <v>0</v>
      </c>
      <c r="I4" s="149">
        <v>0</v>
      </c>
      <c r="J4" s="149">
        <v>0</v>
      </c>
      <c r="K4" s="149">
        <v>3</v>
      </c>
      <c r="L4" s="150">
        <v>100</v>
      </c>
      <c r="M4" s="151">
        <v>100</v>
      </c>
      <c r="N4" s="152"/>
      <c r="O4" s="3">
        <f t="shared" ref="O4:O36" si="0">IFERROR((E4+F4+I4)*100/C4,0)</f>
        <v>100</v>
      </c>
      <c r="P4" s="3" t="b">
        <f t="shared" ref="P4:P36" si="1">L4=O4</f>
        <v>1</v>
      </c>
      <c r="Q4" s="150">
        <f t="shared" ref="Q4:Q36" si="2">IFERROR(E4*100/D4,0)</f>
        <v>100</v>
      </c>
      <c r="R4" s="3" t="b">
        <f t="shared" ref="R4:R36" si="3">M4=Q4</f>
        <v>1</v>
      </c>
    </row>
    <row r="5" spans="1:18" s="3" customFormat="1" ht="19.95" customHeight="1">
      <c r="A5" s="125">
        <v>3</v>
      </c>
      <c r="B5" s="135" t="s">
        <v>177</v>
      </c>
      <c r="C5" s="149">
        <v>3</v>
      </c>
      <c r="D5" s="149">
        <v>2</v>
      </c>
      <c r="E5" s="149">
        <v>2</v>
      </c>
      <c r="F5" s="149">
        <v>0</v>
      </c>
      <c r="G5" s="149">
        <v>0</v>
      </c>
      <c r="H5" s="149">
        <v>1</v>
      </c>
      <c r="I5" s="149">
        <v>0</v>
      </c>
      <c r="J5" s="149">
        <v>1</v>
      </c>
      <c r="K5" s="149">
        <v>2</v>
      </c>
      <c r="L5" s="150">
        <v>66.666666666666671</v>
      </c>
      <c r="M5" s="151">
        <v>100</v>
      </c>
      <c r="N5" s="152"/>
      <c r="O5" s="3">
        <f t="shared" si="0"/>
        <v>66.666666666666671</v>
      </c>
      <c r="P5" s="3" t="b">
        <f t="shared" si="1"/>
        <v>1</v>
      </c>
      <c r="Q5" s="150">
        <f t="shared" si="2"/>
        <v>100</v>
      </c>
      <c r="R5" s="3" t="b">
        <f t="shared" si="3"/>
        <v>1</v>
      </c>
    </row>
    <row r="6" spans="1:18" s="3" customFormat="1" ht="19.95" customHeight="1">
      <c r="A6" s="125">
        <v>4</v>
      </c>
      <c r="B6" s="126" t="s">
        <v>178</v>
      </c>
      <c r="C6" s="125">
        <v>2</v>
      </c>
      <c r="D6" s="125">
        <v>1</v>
      </c>
      <c r="E6" s="125">
        <v>1</v>
      </c>
      <c r="F6" s="125">
        <v>0</v>
      </c>
      <c r="G6" s="125">
        <v>0</v>
      </c>
      <c r="H6" s="125">
        <v>1</v>
      </c>
      <c r="I6" s="125">
        <v>0</v>
      </c>
      <c r="J6" s="125">
        <v>1</v>
      </c>
      <c r="K6" s="125">
        <v>1</v>
      </c>
      <c r="L6" s="153">
        <v>50</v>
      </c>
      <c r="M6" s="154">
        <v>100</v>
      </c>
      <c r="N6" s="152"/>
      <c r="O6" s="3">
        <f t="shared" si="0"/>
        <v>50</v>
      </c>
      <c r="P6" s="3" t="b">
        <f t="shared" si="1"/>
        <v>1</v>
      </c>
      <c r="Q6" s="150">
        <f t="shared" si="2"/>
        <v>100</v>
      </c>
      <c r="R6" s="3" t="b">
        <f t="shared" si="3"/>
        <v>1</v>
      </c>
    </row>
    <row r="7" spans="1:18" s="3" customFormat="1" ht="19.95" customHeight="1">
      <c r="A7" s="125">
        <v>5</v>
      </c>
      <c r="B7" s="135" t="s">
        <v>179</v>
      </c>
      <c r="C7" s="149">
        <v>1</v>
      </c>
      <c r="D7" s="149">
        <v>1</v>
      </c>
      <c r="E7" s="149">
        <v>1</v>
      </c>
      <c r="F7" s="149">
        <v>0</v>
      </c>
      <c r="G7" s="149">
        <v>0</v>
      </c>
      <c r="H7" s="149">
        <v>0</v>
      </c>
      <c r="I7" s="149">
        <v>0</v>
      </c>
      <c r="J7" s="149">
        <v>0</v>
      </c>
      <c r="K7" s="149">
        <v>1</v>
      </c>
      <c r="L7" s="150">
        <v>100</v>
      </c>
      <c r="M7" s="151">
        <v>100</v>
      </c>
      <c r="N7" s="155"/>
      <c r="O7" s="3">
        <f t="shared" si="0"/>
        <v>100</v>
      </c>
      <c r="P7" s="3" t="b">
        <f t="shared" si="1"/>
        <v>1</v>
      </c>
      <c r="Q7" s="150">
        <f t="shared" si="2"/>
        <v>100</v>
      </c>
      <c r="R7" s="3" t="b">
        <f t="shared" si="3"/>
        <v>1</v>
      </c>
    </row>
    <row r="8" spans="1:18" s="3" customFormat="1" ht="19.95" customHeight="1">
      <c r="A8" s="125">
        <v>6</v>
      </c>
      <c r="B8" s="135" t="s">
        <v>180</v>
      </c>
      <c r="C8" s="149">
        <v>6</v>
      </c>
      <c r="D8" s="149">
        <v>6</v>
      </c>
      <c r="E8" s="149">
        <v>5</v>
      </c>
      <c r="F8" s="149">
        <v>0</v>
      </c>
      <c r="G8" s="149">
        <v>1</v>
      </c>
      <c r="H8" s="149">
        <v>0</v>
      </c>
      <c r="I8" s="149">
        <v>0</v>
      </c>
      <c r="J8" s="149">
        <v>0</v>
      </c>
      <c r="K8" s="149">
        <v>5</v>
      </c>
      <c r="L8" s="150">
        <v>83.333333333333329</v>
      </c>
      <c r="M8" s="150">
        <v>83.333333333333329</v>
      </c>
      <c r="N8" s="152"/>
      <c r="O8" s="3">
        <f t="shared" si="0"/>
        <v>83.333333333333329</v>
      </c>
      <c r="P8" s="3" t="b">
        <f t="shared" si="1"/>
        <v>1</v>
      </c>
      <c r="Q8" s="150">
        <f t="shared" si="2"/>
        <v>83.333333333333329</v>
      </c>
      <c r="R8" s="3" t="b">
        <f t="shared" si="3"/>
        <v>1</v>
      </c>
    </row>
    <row r="9" spans="1:18" s="3" customFormat="1" ht="19.95" customHeight="1">
      <c r="A9" s="125">
        <v>7</v>
      </c>
      <c r="B9" s="135" t="s">
        <v>128</v>
      </c>
      <c r="C9" s="149">
        <v>5</v>
      </c>
      <c r="D9" s="149">
        <v>4</v>
      </c>
      <c r="E9" s="149">
        <v>3</v>
      </c>
      <c r="F9" s="149">
        <v>0</v>
      </c>
      <c r="G9" s="149">
        <v>1</v>
      </c>
      <c r="H9" s="149">
        <v>1</v>
      </c>
      <c r="I9" s="149">
        <v>0</v>
      </c>
      <c r="J9" s="149">
        <v>1</v>
      </c>
      <c r="K9" s="149">
        <v>3</v>
      </c>
      <c r="L9" s="150">
        <v>60</v>
      </c>
      <c r="M9" s="150">
        <v>75</v>
      </c>
      <c r="N9" s="152"/>
      <c r="O9" s="3">
        <f t="shared" si="0"/>
        <v>60</v>
      </c>
      <c r="P9" s="3" t="b">
        <f t="shared" si="1"/>
        <v>1</v>
      </c>
      <c r="Q9" s="150">
        <f t="shared" si="2"/>
        <v>75</v>
      </c>
      <c r="R9" s="3" t="b">
        <f t="shared" si="3"/>
        <v>1</v>
      </c>
    </row>
    <row r="10" spans="1:18" s="3" customFormat="1" ht="19.95" customHeight="1">
      <c r="A10" s="125">
        <v>8</v>
      </c>
      <c r="B10" s="126" t="s">
        <v>181</v>
      </c>
      <c r="C10" s="125">
        <v>3</v>
      </c>
      <c r="D10" s="125">
        <v>3</v>
      </c>
      <c r="E10" s="125">
        <v>2</v>
      </c>
      <c r="F10" s="125">
        <v>1</v>
      </c>
      <c r="G10" s="125">
        <v>0</v>
      </c>
      <c r="H10" s="125">
        <v>0</v>
      </c>
      <c r="I10" s="125">
        <v>0</v>
      </c>
      <c r="J10" s="125">
        <v>0</v>
      </c>
      <c r="K10" s="125">
        <v>3</v>
      </c>
      <c r="L10" s="153">
        <v>100</v>
      </c>
      <c r="M10" s="153">
        <v>66.666666666666671</v>
      </c>
      <c r="N10" s="152"/>
      <c r="O10" s="3">
        <f t="shared" si="0"/>
        <v>100</v>
      </c>
      <c r="P10" s="3" t="b">
        <f t="shared" si="1"/>
        <v>1</v>
      </c>
      <c r="Q10" s="150">
        <f t="shared" si="2"/>
        <v>66.666666666666671</v>
      </c>
      <c r="R10" s="3" t="b">
        <f t="shared" si="3"/>
        <v>1</v>
      </c>
    </row>
    <row r="11" spans="1:18" s="3" customFormat="1" ht="19.95" customHeight="1">
      <c r="A11" s="125">
        <v>9</v>
      </c>
      <c r="B11" s="126" t="s">
        <v>182</v>
      </c>
      <c r="C11" s="125">
        <v>6</v>
      </c>
      <c r="D11" s="125">
        <v>5</v>
      </c>
      <c r="E11" s="125">
        <v>3</v>
      </c>
      <c r="F11" s="125">
        <v>2</v>
      </c>
      <c r="G11" s="125">
        <v>0</v>
      </c>
      <c r="H11" s="125">
        <v>1</v>
      </c>
      <c r="I11" s="125">
        <v>0</v>
      </c>
      <c r="J11" s="125">
        <v>1</v>
      </c>
      <c r="K11" s="125">
        <v>5</v>
      </c>
      <c r="L11" s="153">
        <v>83.333333333333329</v>
      </c>
      <c r="M11" s="153">
        <v>60</v>
      </c>
      <c r="N11" s="155"/>
      <c r="O11" s="3">
        <f t="shared" si="0"/>
        <v>83.333333333333329</v>
      </c>
      <c r="P11" s="3" t="b">
        <f t="shared" si="1"/>
        <v>1</v>
      </c>
      <c r="Q11" s="150">
        <f t="shared" si="2"/>
        <v>60</v>
      </c>
      <c r="R11" s="3" t="b">
        <f t="shared" si="3"/>
        <v>1</v>
      </c>
    </row>
    <row r="12" spans="1:18" s="3" customFormat="1" ht="19.95" customHeight="1">
      <c r="A12" s="125">
        <v>10</v>
      </c>
      <c r="B12" s="135" t="s">
        <v>183</v>
      </c>
      <c r="C12" s="149">
        <v>8</v>
      </c>
      <c r="D12" s="149">
        <v>8</v>
      </c>
      <c r="E12" s="149">
        <v>4</v>
      </c>
      <c r="F12" s="149">
        <v>3</v>
      </c>
      <c r="G12" s="149">
        <v>1</v>
      </c>
      <c r="H12" s="149">
        <v>0</v>
      </c>
      <c r="I12" s="149">
        <v>0</v>
      </c>
      <c r="J12" s="149">
        <v>0</v>
      </c>
      <c r="K12" s="149">
        <v>7</v>
      </c>
      <c r="L12" s="150">
        <v>87.5</v>
      </c>
      <c r="M12" s="150">
        <v>50</v>
      </c>
      <c r="N12" s="152"/>
      <c r="O12" s="3">
        <f t="shared" si="0"/>
        <v>87.5</v>
      </c>
      <c r="P12" s="3" t="b">
        <f t="shared" si="1"/>
        <v>1</v>
      </c>
      <c r="Q12" s="150">
        <f t="shared" si="2"/>
        <v>50</v>
      </c>
      <c r="R12" s="3" t="b">
        <f t="shared" si="3"/>
        <v>1</v>
      </c>
    </row>
    <row r="13" spans="1:18" s="3" customFormat="1" ht="19.95" customHeight="1">
      <c r="A13" s="125">
        <v>11</v>
      </c>
      <c r="B13" s="135" t="s">
        <v>184</v>
      </c>
      <c r="C13" s="149">
        <v>4</v>
      </c>
      <c r="D13" s="149">
        <v>4</v>
      </c>
      <c r="E13" s="149">
        <v>2</v>
      </c>
      <c r="F13" s="149">
        <v>2</v>
      </c>
      <c r="G13" s="149">
        <v>0</v>
      </c>
      <c r="H13" s="149">
        <v>0</v>
      </c>
      <c r="I13" s="149">
        <v>0</v>
      </c>
      <c r="J13" s="149">
        <v>0</v>
      </c>
      <c r="K13" s="149">
        <v>4</v>
      </c>
      <c r="L13" s="150">
        <v>100</v>
      </c>
      <c r="M13" s="150">
        <v>50</v>
      </c>
      <c r="N13" s="152"/>
      <c r="O13" s="3">
        <f t="shared" si="0"/>
        <v>100</v>
      </c>
      <c r="P13" s="3" t="b">
        <f t="shared" si="1"/>
        <v>1</v>
      </c>
      <c r="Q13" s="150">
        <f t="shared" si="2"/>
        <v>50</v>
      </c>
      <c r="R13" s="3" t="b">
        <f t="shared" si="3"/>
        <v>1</v>
      </c>
    </row>
    <row r="14" spans="1:18" s="3" customFormat="1" ht="19.95" customHeight="1">
      <c r="A14" s="125">
        <v>12</v>
      </c>
      <c r="B14" s="135" t="s">
        <v>185</v>
      </c>
      <c r="C14" s="149">
        <v>2</v>
      </c>
      <c r="D14" s="149">
        <v>2</v>
      </c>
      <c r="E14" s="149">
        <v>1</v>
      </c>
      <c r="F14" s="149">
        <v>1</v>
      </c>
      <c r="G14" s="149">
        <v>0</v>
      </c>
      <c r="H14" s="149">
        <v>0</v>
      </c>
      <c r="I14" s="149">
        <v>0</v>
      </c>
      <c r="J14" s="149">
        <v>0</v>
      </c>
      <c r="K14" s="149">
        <v>2</v>
      </c>
      <c r="L14" s="150">
        <v>100</v>
      </c>
      <c r="M14" s="150">
        <v>50</v>
      </c>
      <c r="N14" s="155"/>
      <c r="O14" s="3">
        <f t="shared" si="0"/>
        <v>100</v>
      </c>
      <c r="P14" s="3" t="b">
        <f t="shared" si="1"/>
        <v>1</v>
      </c>
      <c r="Q14" s="150">
        <f t="shared" si="2"/>
        <v>50</v>
      </c>
      <c r="R14" s="3" t="b">
        <f t="shared" si="3"/>
        <v>1</v>
      </c>
    </row>
    <row r="15" spans="1:18" s="3" customFormat="1" ht="19.95" customHeight="1">
      <c r="A15" s="125">
        <v>13</v>
      </c>
      <c r="B15" s="135" t="s">
        <v>186</v>
      </c>
      <c r="C15" s="149">
        <v>5</v>
      </c>
      <c r="D15" s="149">
        <v>5</v>
      </c>
      <c r="E15" s="149">
        <v>2</v>
      </c>
      <c r="F15" s="149">
        <v>2</v>
      </c>
      <c r="G15" s="149">
        <v>1</v>
      </c>
      <c r="H15" s="149">
        <v>0</v>
      </c>
      <c r="I15" s="149">
        <v>0</v>
      </c>
      <c r="J15" s="149">
        <v>0</v>
      </c>
      <c r="K15" s="149">
        <v>4</v>
      </c>
      <c r="L15" s="150">
        <v>80</v>
      </c>
      <c r="M15" s="150">
        <v>40</v>
      </c>
      <c r="N15" s="155"/>
      <c r="O15" s="3">
        <f t="shared" si="0"/>
        <v>80</v>
      </c>
      <c r="P15" s="3" t="b">
        <f t="shared" si="1"/>
        <v>1</v>
      </c>
      <c r="Q15" s="150">
        <f t="shared" si="2"/>
        <v>40</v>
      </c>
      <c r="R15" s="3" t="b">
        <f t="shared" si="3"/>
        <v>1</v>
      </c>
    </row>
    <row r="16" spans="1:18" s="3" customFormat="1" ht="19.95" customHeight="1">
      <c r="A16" s="125">
        <v>14</v>
      </c>
      <c r="B16" s="126" t="s">
        <v>187</v>
      </c>
      <c r="C16" s="125">
        <v>5</v>
      </c>
      <c r="D16" s="125">
        <v>5</v>
      </c>
      <c r="E16" s="125">
        <v>2</v>
      </c>
      <c r="F16" s="125">
        <v>3</v>
      </c>
      <c r="G16" s="125">
        <v>0</v>
      </c>
      <c r="H16" s="125">
        <v>0</v>
      </c>
      <c r="I16" s="125">
        <v>0</v>
      </c>
      <c r="J16" s="125">
        <v>0</v>
      </c>
      <c r="K16" s="125">
        <v>5</v>
      </c>
      <c r="L16" s="153">
        <v>100</v>
      </c>
      <c r="M16" s="153">
        <v>40</v>
      </c>
      <c r="N16" s="152"/>
      <c r="O16" s="3">
        <f t="shared" si="0"/>
        <v>100</v>
      </c>
      <c r="P16" s="3" t="b">
        <f t="shared" si="1"/>
        <v>1</v>
      </c>
      <c r="Q16" s="150">
        <f t="shared" si="2"/>
        <v>40</v>
      </c>
      <c r="R16" s="3" t="b">
        <f t="shared" si="3"/>
        <v>1</v>
      </c>
    </row>
    <row r="17" spans="1:18" s="3" customFormat="1" ht="19.95" customHeight="1">
      <c r="A17" s="125">
        <v>15</v>
      </c>
      <c r="B17" s="135" t="s">
        <v>188</v>
      </c>
      <c r="C17" s="149">
        <v>3</v>
      </c>
      <c r="D17" s="149">
        <v>3</v>
      </c>
      <c r="E17" s="149">
        <v>1</v>
      </c>
      <c r="F17" s="149">
        <v>1</v>
      </c>
      <c r="G17" s="149">
        <v>1</v>
      </c>
      <c r="H17" s="149">
        <v>0</v>
      </c>
      <c r="I17" s="149">
        <v>0</v>
      </c>
      <c r="J17" s="149">
        <v>0</v>
      </c>
      <c r="K17" s="149">
        <v>2</v>
      </c>
      <c r="L17" s="150">
        <v>66.666666666666671</v>
      </c>
      <c r="M17" s="150">
        <v>33.333333333333336</v>
      </c>
      <c r="N17" s="152"/>
      <c r="O17" s="3">
        <f t="shared" si="0"/>
        <v>66.666666666666671</v>
      </c>
      <c r="P17" s="3" t="b">
        <f t="shared" si="1"/>
        <v>1</v>
      </c>
      <c r="Q17" s="150">
        <f t="shared" si="2"/>
        <v>33.333333333333336</v>
      </c>
      <c r="R17" s="3" t="b">
        <f t="shared" si="3"/>
        <v>1</v>
      </c>
    </row>
    <row r="18" spans="1:18" s="3" customFormat="1" ht="19.95" customHeight="1">
      <c r="A18" s="125">
        <v>16</v>
      </c>
      <c r="B18" s="135" t="s">
        <v>189</v>
      </c>
      <c r="C18" s="149">
        <v>3</v>
      </c>
      <c r="D18" s="149">
        <v>3</v>
      </c>
      <c r="E18" s="149">
        <v>1</v>
      </c>
      <c r="F18" s="149">
        <v>2</v>
      </c>
      <c r="G18" s="149">
        <v>0</v>
      </c>
      <c r="H18" s="149">
        <v>0</v>
      </c>
      <c r="I18" s="149">
        <v>0</v>
      </c>
      <c r="J18" s="149">
        <v>0</v>
      </c>
      <c r="K18" s="149">
        <v>3</v>
      </c>
      <c r="L18" s="150">
        <v>100</v>
      </c>
      <c r="M18" s="150">
        <v>33.333333333333336</v>
      </c>
      <c r="N18" s="152"/>
      <c r="O18" s="3">
        <f t="shared" si="0"/>
        <v>100</v>
      </c>
      <c r="P18" s="3" t="b">
        <f t="shared" si="1"/>
        <v>1</v>
      </c>
      <c r="Q18" s="150">
        <f t="shared" si="2"/>
        <v>33.333333333333336</v>
      </c>
      <c r="R18" s="3" t="b">
        <f t="shared" si="3"/>
        <v>1</v>
      </c>
    </row>
    <row r="19" spans="1:18" s="3" customFormat="1" ht="19.95" customHeight="1">
      <c r="A19" s="125">
        <v>17</v>
      </c>
      <c r="B19" s="135" t="s">
        <v>190</v>
      </c>
      <c r="C19" s="149">
        <v>3</v>
      </c>
      <c r="D19" s="149">
        <v>3</v>
      </c>
      <c r="E19" s="149">
        <v>1</v>
      </c>
      <c r="F19" s="149">
        <v>2</v>
      </c>
      <c r="G19" s="149">
        <v>0</v>
      </c>
      <c r="H19" s="149">
        <v>0</v>
      </c>
      <c r="I19" s="149">
        <v>0</v>
      </c>
      <c r="J19" s="149">
        <v>0</v>
      </c>
      <c r="K19" s="149">
        <v>3</v>
      </c>
      <c r="L19" s="150">
        <v>100</v>
      </c>
      <c r="M19" s="150">
        <v>33.333333333333336</v>
      </c>
      <c r="N19" s="152"/>
      <c r="O19" s="3">
        <f t="shared" si="0"/>
        <v>100</v>
      </c>
      <c r="P19" s="3" t="b">
        <f t="shared" si="1"/>
        <v>1</v>
      </c>
      <c r="Q19" s="150">
        <f t="shared" si="2"/>
        <v>33.333333333333336</v>
      </c>
      <c r="R19" s="3" t="b">
        <f t="shared" si="3"/>
        <v>1</v>
      </c>
    </row>
    <row r="20" spans="1:18" s="3" customFormat="1" ht="19.95" customHeight="1">
      <c r="A20" s="125">
        <v>18</v>
      </c>
      <c r="B20" s="135" t="s">
        <v>191</v>
      </c>
      <c r="C20" s="149">
        <v>4</v>
      </c>
      <c r="D20" s="149">
        <v>4</v>
      </c>
      <c r="E20" s="149">
        <v>1</v>
      </c>
      <c r="F20" s="149">
        <v>3</v>
      </c>
      <c r="G20" s="149">
        <v>0</v>
      </c>
      <c r="H20" s="149">
        <v>0</v>
      </c>
      <c r="I20" s="149">
        <v>0</v>
      </c>
      <c r="J20" s="149">
        <v>0</v>
      </c>
      <c r="K20" s="149">
        <v>4</v>
      </c>
      <c r="L20" s="150">
        <v>100</v>
      </c>
      <c r="M20" s="150">
        <v>25</v>
      </c>
      <c r="N20" s="155"/>
      <c r="O20" s="3">
        <f t="shared" si="0"/>
        <v>100</v>
      </c>
      <c r="P20" s="3" t="b">
        <f t="shared" si="1"/>
        <v>1</v>
      </c>
      <c r="Q20" s="150">
        <f t="shared" si="2"/>
        <v>25</v>
      </c>
      <c r="R20" s="3" t="b">
        <f t="shared" si="3"/>
        <v>1</v>
      </c>
    </row>
    <row r="21" spans="1:18" s="3" customFormat="1" ht="19.95" customHeight="1">
      <c r="A21" s="125">
        <v>19</v>
      </c>
      <c r="B21" s="126" t="s">
        <v>192</v>
      </c>
      <c r="C21" s="125">
        <v>5</v>
      </c>
      <c r="D21" s="125">
        <v>5</v>
      </c>
      <c r="E21" s="125">
        <v>0</v>
      </c>
      <c r="F21" s="125">
        <v>5</v>
      </c>
      <c r="G21" s="125">
        <v>0</v>
      </c>
      <c r="H21" s="125">
        <v>0</v>
      </c>
      <c r="I21" s="125">
        <v>0</v>
      </c>
      <c r="J21" s="125">
        <v>0</v>
      </c>
      <c r="K21" s="125">
        <v>5</v>
      </c>
      <c r="L21" s="153">
        <v>100</v>
      </c>
      <c r="M21" s="156">
        <v>0</v>
      </c>
      <c r="N21" s="152"/>
      <c r="O21" s="3">
        <f t="shared" si="0"/>
        <v>100</v>
      </c>
      <c r="P21" s="3" t="b">
        <f t="shared" si="1"/>
        <v>1</v>
      </c>
      <c r="Q21" s="150">
        <f t="shared" si="2"/>
        <v>0</v>
      </c>
      <c r="R21" s="3" t="b">
        <f t="shared" si="3"/>
        <v>1</v>
      </c>
    </row>
    <row r="22" spans="1:18" s="3" customFormat="1" ht="19.95" customHeight="1">
      <c r="A22" s="125">
        <v>20</v>
      </c>
      <c r="B22" s="135" t="s">
        <v>193</v>
      </c>
      <c r="C22" s="149">
        <v>3</v>
      </c>
      <c r="D22" s="149">
        <v>3</v>
      </c>
      <c r="E22" s="149">
        <v>0</v>
      </c>
      <c r="F22" s="149">
        <v>3</v>
      </c>
      <c r="G22" s="149">
        <v>0</v>
      </c>
      <c r="H22" s="149">
        <v>0</v>
      </c>
      <c r="I22" s="149">
        <v>0</v>
      </c>
      <c r="J22" s="149">
        <v>0</v>
      </c>
      <c r="K22" s="149">
        <v>3</v>
      </c>
      <c r="L22" s="150">
        <v>100</v>
      </c>
      <c r="M22" s="157">
        <v>0</v>
      </c>
      <c r="N22" s="152"/>
      <c r="O22" s="3">
        <f t="shared" si="0"/>
        <v>100</v>
      </c>
      <c r="P22" s="3" t="b">
        <f t="shared" si="1"/>
        <v>1</v>
      </c>
      <c r="Q22" s="150">
        <f t="shared" si="2"/>
        <v>0</v>
      </c>
      <c r="R22" s="3" t="b">
        <f t="shared" si="3"/>
        <v>1</v>
      </c>
    </row>
    <row r="23" spans="1:18" s="3" customFormat="1" ht="19.95" customHeight="1">
      <c r="A23" s="125">
        <v>21</v>
      </c>
      <c r="B23" s="135" t="s">
        <v>194</v>
      </c>
      <c r="C23" s="149">
        <v>3</v>
      </c>
      <c r="D23" s="149">
        <v>3</v>
      </c>
      <c r="E23" s="149">
        <v>0</v>
      </c>
      <c r="F23" s="149">
        <v>3</v>
      </c>
      <c r="G23" s="149">
        <v>0</v>
      </c>
      <c r="H23" s="149">
        <v>0</v>
      </c>
      <c r="I23" s="149">
        <v>0</v>
      </c>
      <c r="J23" s="149">
        <v>0</v>
      </c>
      <c r="K23" s="149">
        <v>3</v>
      </c>
      <c r="L23" s="150">
        <v>100</v>
      </c>
      <c r="M23" s="157">
        <v>0</v>
      </c>
      <c r="N23" s="152"/>
      <c r="O23" s="3">
        <f t="shared" si="0"/>
        <v>100</v>
      </c>
      <c r="P23" s="3" t="b">
        <f t="shared" si="1"/>
        <v>1</v>
      </c>
      <c r="Q23" s="150">
        <f t="shared" si="2"/>
        <v>0</v>
      </c>
      <c r="R23" s="3" t="b">
        <f t="shared" si="3"/>
        <v>1</v>
      </c>
    </row>
    <row r="24" spans="1:18" s="3" customFormat="1" ht="19.95" customHeight="1">
      <c r="A24" s="125">
        <v>22</v>
      </c>
      <c r="B24" s="135" t="s">
        <v>195</v>
      </c>
      <c r="C24" s="149">
        <v>2</v>
      </c>
      <c r="D24" s="149">
        <v>1</v>
      </c>
      <c r="E24" s="149">
        <v>0</v>
      </c>
      <c r="F24" s="149">
        <v>1</v>
      </c>
      <c r="G24" s="149">
        <v>0</v>
      </c>
      <c r="H24" s="149">
        <v>1</v>
      </c>
      <c r="I24" s="149">
        <v>0</v>
      </c>
      <c r="J24" s="149">
        <v>1</v>
      </c>
      <c r="K24" s="149">
        <v>1</v>
      </c>
      <c r="L24" s="150">
        <v>50</v>
      </c>
      <c r="M24" s="157">
        <v>0</v>
      </c>
      <c r="N24" s="152"/>
      <c r="O24" s="3">
        <f t="shared" si="0"/>
        <v>50</v>
      </c>
      <c r="P24" s="3" t="b">
        <f t="shared" si="1"/>
        <v>1</v>
      </c>
      <c r="Q24" s="150">
        <f t="shared" si="2"/>
        <v>0</v>
      </c>
      <c r="R24" s="3" t="b">
        <f t="shared" si="3"/>
        <v>1</v>
      </c>
    </row>
    <row r="25" spans="1:18" s="3" customFormat="1" ht="19.95" customHeight="1">
      <c r="A25" s="125">
        <v>23</v>
      </c>
      <c r="B25" s="158" t="s">
        <v>196</v>
      </c>
      <c r="C25" s="149">
        <v>1</v>
      </c>
      <c r="D25" s="149">
        <v>1</v>
      </c>
      <c r="E25" s="149">
        <v>0</v>
      </c>
      <c r="F25" s="149">
        <v>1</v>
      </c>
      <c r="G25" s="149">
        <v>0</v>
      </c>
      <c r="H25" s="149">
        <v>0</v>
      </c>
      <c r="I25" s="149">
        <v>0</v>
      </c>
      <c r="J25" s="149">
        <v>0</v>
      </c>
      <c r="K25" s="149">
        <v>1</v>
      </c>
      <c r="L25" s="150">
        <v>100</v>
      </c>
      <c r="M25" s="157">
        <v>0</v>
      </c>
      <c r="N25" s="152"/>
      <c r="O25" s="3">
        <f t="shared" si="0"/>
        <v>100</v>
      </c>
      <c r="P25" s="3" t="b">
        <f t="shared" si="1"/>
        <v>1</v>
      </c>
      <c r="Q25" s="150">
        <f t="shared" si="2"/>
        <v>0</v>
      </c>
      <c r="R25" s="3" t="b">
        <f t="shared" si="3"/>
        <v>1</v>
      </c>
    </row>
    <row r="26" spans="1:18" s="3" customFormat="1" ht="19.95" customHeight="1">
      <c r="A26" s="125">
        <v>24</v>
      </c>
      <c r="B26" s="135" t="s">
        <v>197</v>
      </c>
      <c r="C26" s="149">
        <v>1</v>
      </c>
      <c r="D26" s="149">
        <v>1</v>
      </c>
      <c r="E26" s="149">
        <v>0</v>
      </c>
      <c r="F26" s="149">
        <v>0</v>
      </c>
      <c r="G26" s="149">
        <v>1</v>
      </c>
      <c r="H26" s="149">
        <v>0</v>
      </c>
      <c r="I26" s="149">
        <v>0</v>
      </c>
      <c r="J26" s="149">
        <v>0</v>
      </c>
      <c r="K26" s="149">
        <v>0</v>
      </c>
      <c r="L26" s="150">
        <v>0</v>
      </c>
      <c r="M26" s="157">
        <v>0</v>
      </c>
      <c r="N26" s="152"/>
      <c r="O26" s="3">
        <f t="shared" si="0"/>
        <v>0</v>
      </c>
      <c r="P26" s="3" t="b">
        <f t="shared" si="1"/>
        <v>1</v>
      </c>
      <c r="Q26" s="150">
        <f t="shared" si="2"/>
        <v>0</v>
      </c>
      <c r="R26" s="3" t="b">
        <f t="shared" si="3"/>
        <v>1</v>
      </c>
    </row>
    <row r="27" spans="1:18" s="3" customFormat="1" ht="19.95" customHeight="1">
      <c r="A27" s="125">
        <v>25</v>
      </c>
      <c r="B27" s="135" t="s">
        <v>198</v>
      </c>
      <c r="C27" s="149">
        <v>1</v>
      </c>
      <c r="D27" s="149">
        <v>1</v>
      </c>
      <c r="E27" s="149">
        <v>0</v>
      </c>
      <c r="F27" s="149">
        <v>1</v>
      </c>
      <c r="G27" s="149">
        <v>0</v>
      </c>
      <c r="H27" s="149">
        <v>0</v>
      </c>
      <c r="I27" s="149">
        <v>0</v>
      </c>
      <c r="J27" s="149">
        <v>0</v>
      </c>
      <c r="K27" s="149">
        <v>1</v>
      </c>
      <c r="L27" s="150">
        <v>100</v>
      </c>
      <c r="M27" s="157">
        <v>0</v>
      </c>
      <c r="N27" s="152"/>
      <c r="O27" s="3">
        <f t="shared" si="0"/>
        <v>100</v>
      </c>
      <c r="P27" s="3" t="b">
        <f t="shared" si="1"/>
        <v>1</v>
      </c>
      <c r="Q27" s="150">
        <f t="shared" si="2"/>
        <v>0</v>
      </c>
      <c r="R27" s="3" t="b">
        <f t="shared" si="3"/>
        <v>1</v>
      </c>
    </row>
    <row r="28" spans="1:18" s="3" customFormat="1" ht="19.95" customHeight="1">
      <c r="A28" s="125">
        <v>26</v>
      </c>
      <c r="B28" s="126" t="s">
        <v>199</v>
      </c>
      <c r="C28" s="125">
        <v>1</v>
      </c>
      <c r="D28" s="125">
        <v>0</v>
      </c>
      <c r="E28" s="125">
        <v>0</v>
      </c>
      <c r="F28" s="125">
        <v>0</v>
      </c>
      <c r="G28" s="125">
        <v>0</v>
      </c>
      <c r="H28" s="125">
        <v>1</v>
      </c>
      <c r="I28" s="125">
        <v>0</v>
      </c>
      <c r="J28" s="125">
        <v>1</v>
      </c>
      <c r="K28" s="125">
        <v>0</v>
      </c>
      <c r="L28" s="153">
        <v>0</v>
      </c>
      <c r="M28" s="153">
        <v>0</v>
      </c>
      <c r="N28" s="152"/>
      <c r="O28" s="3">
        <f t="shared" si="0"/>
        <v>0</v>
      </c>
      <c r="P28" s="3" t="b">
        <f t="shared" si="1"/>
        <v>1</v>
      </c>
      <c r="Q28" s="150">
        <f t="shared" si="2"/>
        <v>0</v>
      </c>
      <c r="R28" s="3" t="b">
        <f t="shared" si="3"/>
        <v>1</v>
      </c>
    </row>
    <row r="29" spans="1:18" s="3" customFormat="1" ht="19.95" customHeight="1">
      <c r="A29" s="125">
        <v>27</v>
      </c>
      <c r="B29" s="135" t="s">
        <v>200</v>
      </c>
      <c r="C29" s="149"/>
      <c r="D29" s="149"/>
      <c r="E29" s="149"/>
      <c r="F29" s="149"/>
      <c r="G29" s="149"/>
      <c r="H29" s="149"/>
      <c r="I29" s="149"/>
      <c r="J29" s="149"/>
      <c r="K29" s="149"/>
      <c r="L29" s="159"/>
      <c r="M29" s="159"/>
      <c r="N29" s="160"/>
      <c r="O29" s="3">
        <f t="shared" si="0"/>
        <v>0</v>
      </c>
      <c r="P29" s="3" t="b">
        <f t="shared" si="1"/>
        <v>1</v>
      </c>
      <c r="Q29" s="150">
        <f>IFERROR(E29*100/D29,0)</f>
        <v>0</v>
      </c>
      <c r="R29" s="3" t="b">
        <f t="shared" si="3"/>
        <v>1</v>
      </c>
    </row>
    <row r="30" spans="1:18" s="3" customFormat="1" ht="19.95" customHeight="1">
      <c r="A30" s="125">
        <v>28</v>
      </c>
      <c r="B30" s="126" t="s">
        <v>201</v>
      </c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61"/>
      <c r="O30" s="3">
        <f t="shared" si="0"/>
        <v>0</v>
      </c>
      <c r="P30" s="3" t="b">
        <f t="shared" si="1"/>
        <v>1</v>
      </c>
      <c r="Q30" s="150">
        <f t="shared" si="2"/>
        <v>0</v>
      </c>
      <c r="R30" s="3" t="b">
        <f t="shared" si="3"/>
        <v>1</v>
      </c>
    </row>
    <row r="31" spans="1:18" s="3" customFormat="1" ht="19.95" customHeight="1">
      <c r="A31" s="125">
        <v>29</v>
      </c>
      <c r="B31" s="126" t="s">
        <v>202</v>
      </c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61"/>
      <c r="O31" s="3">
        <f t="shared" si="0"/>
        <v>0</v>
      </c>
      <c r="P31" s="3" t="b">
        <f t="shared" si="1"/>
        <v>1</v>
      </c>
      <c r="Q31" s="150">
        <f t="shared" si="2"/>
        <v>0</v>
      </c>
      <c r="R31" s="3" t="b">
        <f t="shared" si="3"/>
        <v>1</v>
      </c>
    </row>
    <row r="32" spans="1:18" s="3" customFormat="1" ht="19.95" customHeight="1">
      <c r="A32" s="125">
        <v>30</v>
      </c>
      <c r="B32" s="135" t="s">
        <v>203</v>
      </c>
      <c r="C32" s="149"/>
      <c r="D32" s="149"/>
      <c r="E32" s="149"/>
      <c r="F32" s="149"/>
      <c r="G32" s="149"/>
      <c r="H32" s="149"/>
      <c r="I32" s="149"/>
      <c r="J32" s="149"/>
      <c r="K32" s="149"/>
      <c r="L32" s="159"/>
      <c r="M32" s="162"/>
      <c r="N32" s="163"/>
      <c r="O32" s="3">
        <f t="shared" si="0"/>
        <v>0</v>
      </c>
      <c r="P32" s="3" t="b">
        <f t="shared" si="1"/>
        <v>1</v>
      </c>
      <c r="Q32" s="150">
        <f t="shared" si="2"/>
        <v>0</v>
      </c>
      <c r="R32" s="3" t="b">
        <f t="shared" si="3"/>
        <v>1</v>
      </c>
    </row>
    <row r="33" spans="1:18" s="3" customFormat="1" ht="19.95" customHeight="1">
      <c r="A33" s="125">
        <v>31</v>
      </c>
      <c r="B33" s="135" t="s">
        <v>204</v>
      </c>
      <c r="C33" s="149"/>
      <c r="D33" s="149"/>
      <c r="E33" s="149"/>
      <c r="F33" s="149"/>
      <c r="G33" s="149"/>
      <c r="H33" s="149"/>
      <c r="I33" s="149"/>
      <c r="J33" s="149"/>
      <c r="K33" s="149"/>
      <c r="L33" s="159"/>
      <c r="M33" s="159"/>
      <c r="N33" s="160"/>
      <c r="O33" s="3">
        <f t="shared" si="0"/>
        <v>0</v>
      </c>
      <c r="P33" s="3" t="b">
        <f t="shared" si="1"/>
        <v>1</v>
      </c>
      <c r="Q33" s="150">
        <f t="shared" si="2"/>
        <v>0</v>
      </c>
      <c r="R33" s="3" t="b">
        <f t="shared" si="3"/>
        <v>1</v>
      </c>
    </row>
    <row r="34" spans="1:18" s="3" customFormat="1" ht="19.95" customHeight="1">
      <c r="A34" s="125">
        <v>32</v>
      </c>
      <c r="B34" s="135" t="s">
        <v>205</v>
      </c>
      <c r="C34" s="149"/>
      <c r="D34" s="149"/>
      <c r="E34" s="149"/>
      <c r="F34" s="149"/>
      <c r="G34" s="149"/>
      <c r="H34" s="149"/>
      <c r="I34" s="149"/>
      <c r="J34" s="149"/>
      <c r="K34" s="149"/>
      <c r="L34" s="150"/>
      <c r="M34" s="150"/>
      <c r="N34" s="164"/>
      <c r="O34" s="3">
        <f t="shared" si="0"/>
        <v>0</v>
      </c>
      <c r="P34" s="3" t="b">
        <f t="shared" si="1"/>
        <v>1</v>
      </c>
      <c r="Q34" s="150">
        <f t="shared" si="2"/>
        <v>0</v>
      </c>
      <c r="R34" s="3" t="b">
        <f t="shared" si="3"/>
        <v>1</v>
      </c>
    </row>
    <row r="35" spans="1:18" s="3" customFormat="1" ht="19.95" customHeight="1">
      <c r="A35" s="125">
        <v>33</v>
      </c>
      <c r="B35" s="126" t="s">
        <v>206</v>
      </c>
      <c r="C35" s="165"/>
      <c r="D35" s="165"/>
      <c r="E35" s="165"/>
      <c r="F35" s="165"/>
      <c r="G35" s="165"/>
      <c r="H35" s="165"/>
      <c r="I35" s="165"/>
      <c r="J35" s="165"/>
      <c r="K35" s="165"/>
      <c r="L35" s="166"/>
      <c r="M35" s="166"/>
      <c r="N35" s="161"/>
      <c r="O35" s="3">
        <f t="shared" si="0"/>
        <v>0</v>
      </c>
      <c r="P35" s="3" t="b">
        <f t="shared" si="1"/>
        <v>1</v>
      </c>
      <c r="Q35" s="150">
        <f t="shared" si="2"/>
        <v>0</v>
      </c>
      <c r="R35" s="3" t="b">
        <f t="shared" si="3"/>
        <v>1</v>
      </c>
    </row>
    <row r="36" spans="1:18" s="3" customFormat="1" ht="19.95" customHeight="1">
      <c r="A36" s="125">
        <v>34</v>
      </c>
      <c r="B36" s="126" t="s">
        <v>207</v>
      </c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61"/>
      <c r="O36" s="3">
        <f t="shared" si="0"/>
        <v>0</v>
      </c>
      <c r="P36" s="3" t="b">
        <f t="shared" si="1"/>
        <v>1</v>
      </c>
      <c r="Q36" s="150">
        <f t="shared" si="2"/>
        <v>0</v>
      </c>
      <c r="R36" s="3" t="b">
        <f t="shared" si="3"/>
        <v>1</v>
      </c>
    </row>
    <row r="37" spans="1:18" s="3" customFormat="1" ht="19.95" customHeight="1">
      <c r="A37" s="167" t="s">
        <v>75</v>
      </c>
      <c r="B37" s="167"/>
      <c r="C37" s="168">
        <f>SUM(C3:C36)</f>
        <v>87</v>
      </c>
      <c r="D37" s="168">
        <f t="shared" ref="D37:K37" si="4">SUM(D3:D36)</f>
        <v>80</v>
      </c>
      <c r="E37" s="168">
        <f t="shared" si="4"/>
        <v>38</v>
      </c>
      <c r="F37" s="168">
        <f t="shared" si="4"/>
        <v>36</v>
      </c>
      <c r="G37" s="168">
        <f t="shared" si="4"/>
        <v>6</v>
      </c>
      <c r="H37" s="168">
        <f t="shared" si="4"/>
        <v>7</v>
      </c>
      <c r="I37" s="168">
        <f t="shared" si="4"/>
        <v>0</v>
      </c>
      <c r="J37" s="168">
        <f t="shared" si="4"/>
        <v>7</v>
      </c>
      <c r="K37" s="168">
        <f t="shared" si="4"/>
        <v>74</v>
      </c>
      <c r="L37" s="169">
        <f>IFERROR(SUM(E37+F37+I37)*100/C37,0)</f>
        <v>85.05747126436782</v>
      </c>
      <c r="M37" s="170">
        <f>IFERROR(E37*100/D37,0)</f>
        <v>47.5</v>
      </c>
      <c r="N37" s="171"/>
    </row>
  </sheetData>
  <mergeCells count="2">
    <mergeCell ref="A1:M1"/>
    <mergeCell ref="A37:B37"/>
  </mergeCells>
  <printOptions horizontalCentered="1"/>
  <pageMargins left="0.51181102362204722" right="0.51181102362204722" top="0.74803149606299213" bottom="0.74803149606299213" header="0.31496062992125984" footer="0.31496062992125984"/>
  <pageSetup paperSize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6D1C8-0C62-4A46-AA3B-C56E56446658}">
  <sheetPr codeName="Sheet47">
    <tabColor theme="7" tint="-0.249977111117893"/>
  </sheetPr>
  <dimension ref="A1:R37"/>
  <sheetViews>
    <sheetView topLeftCell="A13" workbookViewId="0">
      <selection activeCell="M18" sqref="M18"/>
    </sheetView>
  </sheetViews>
  <sheetFormatPr defaultRowHeight="14.4"/>
  <cols>
    <col min="1" max="1" width="8.88671875" style="51"/>
    <col min="2" max="2" width="27" bestFit="1" customWidth="1"/>
    <col min="3" max="3" width="8.88671875" style="51"/>
    <col min="4" max="4" width="16.44140625" style="51" customWidth="1"/>
    <col min="5" max="7" width="8.88671875" style="51"/>
    <col min="8" max="8" width="11.6640625" style="51" customWidth="1"/>
    <col min="9" max="11" width="8.88671875" style="51"/>
    <col min="12" max="12" width="12.77734375" style="51" customWidth="1"/>
    <col min="13" max="14" width="13.44140625" style="51" customWidth="1"/>
  </cols>
  <sheetData>
    <row r="1" spans="1:18" ht="23.4" customHeight="1">
      <c r="A1" s="143" t="str">
        <f ca="1">"ITSSO ( INVESTIGATION TRACKING SYSTEM FOR SEXUAL OFFENCES OF CHITTOOR DISTRICT - PS WISE  FROM 01-10-2025 TO "&amp;TEXT(TODAY()-1,"dd-mm-yyyy")</f>
        <v>ITSSO ( INVESTIGATION TRACKING SYSTEM FOR SEXUAL OFFENCES OF CHITTOOR DISTRICT - PS WISE  FROM 01-10-2025 TO 02-06-2026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4"/>
    </row>
    <row r="2" spans="1:18" ht="78">
      <c r="A2" s="145" t="s">
        <v>165</v>
      </c>
      <c r="B2" s="146" t="s">
        <v>142</v>
      </c>
      <c r="C2" s="147" t="s">
        <v>166</v>
      </c>
      <c r="D2" s="147" t="s">
        <v>167</v>
      </c>
      <c r="E2" s="147" t="s">
        <v>168</v>
      </c>
      <c r="F2" s="147" t="s">
        <v>169</v>
      </c>
      <c r="G2" s="147" t="s">
        <v>170</v>
      </c>
      <c r="H2" s="147" t="s">
        <v>171</v>
      </c>
      <c r="I2" s="147" t="s">
        <v>168</v>
      </c>
      <c r="J2" s="147" t="s">
        <v>170</v>
      </c>
      <c r="K2" s="147" t="s">
        <v>172</v>
      </c>
      <c r="L2" s="147" t="s">
        <v>173</v>
      </c>
      <c r="M2" s="147" t="s">
        <v>174</v>
      </c>
      <c r="N2" s="148"/>
    </row>
    <row r="3" spans="1:18" s="3" customFormat="1" ht="19.95" customHeight="1">
      <c r="A3" s="125">
        <v>1</v>
      </c>
      <c r="B3" s="126" t="s">
        <v>182</v>
      </c>
      <c r="C3" s="125">
        <v>3</v>
      </c>
      <c r="D3" s="125">
        <v>2</v>
      </c>
      <c r="E3" s="125">
        <v>2</v>
      </c>
      <c r="F3" s="125">
        <v>0</v>
      </c>
      <c r="G3" s="125">
        <v>0</v>
      </c>
      <c r="H3" s="125">
        <v>1</v>
      </c>
      <c r="I3" s="125">
        <v>0</v>
      </c>
      <c r="J3" s="125">
        <v>1</v>
      </c>
      <c r="K3" s="125">
        <v>2</v>
      </c>
      <c r="L3" s="153">
        <v>66.666666666666671</v>
      </c>
      <c r="M3" s="153">
        <v>100</v>
      </c>
      <c r="N3" s="152"/>
      <c r="O3" s="3">
        <f>IFERROR((E3+F3+I3)*100/C3,0)</f>
        <v>66.666666666666671</v>
      </c>
      <c r="P3" s="3" t="b">
        <f>L3=O3</f>
        <v>1</v>
      </c>
      <c r="Q3" s="150">
        <f>IFERROR(E3*100/D3,0)</f>
        <v>100</v>
      </c>
      <c r="R3" s="3" t="b">
        <f>M3=Q3</f>
        <v>1</v>
      </c>
    </row>
    <row r="4" spans="1:18" s="3" customFormat="1" ht="19.95" customHeight="1">
      <c r="A4" s="125">
        <v>2</v>
      </c>
      <c r="B4" s="126" t="s">
        <v>181</v>
      </c>
      <c r="C4" s="125">
        <v>2</v>
      </c>
      <c r="D4" s="125">
        <v>2</v>
      </c>
      <c r="E4" s="125">
        <v>2</v>
      </c>
      <c r="F4" s="125">
        <v>0</v>
      </c>
      <c r="G4" s="125">
        <v>0</v>
      </c>
      <c r="H4" s="125">
        <v>0</v>
      </c>
      <c r="I4" s="125">
        <v>0</v>
      </c>
      <c r="J4" s="125">
        <v>0</v>
      </c>
      <c r="K4" s="125">
        <v>2</v>
      </c>
      <c r="L4" s="153">
        <v>100</v>
      </c>
      <c r="M4" s="153">
        <v>100</v>
      </c>
      <c r="N4" s="152"/>
      <c r="O4" s="3">
        <f t="shared" ref="O4:O36" si="0">IFERROR((E4+F4+I4)*100/C4,0)</f>
        <v>100</v>
      </c>
      <c r="P4" s="3" t="b">
        <f t="shared" ref="P4:P36" si="1">L4=O4</f>
        <v>1</v>
      </c>
      <c r="Q4" s="150">
        <f t="shared" ref="Q4:Q36" si="2">IFERROR(E4*100/D4,0)</f>
        <v>100</v>
      </c>
      <c r="R4" s="3" t="b">
        <f t="shared" ref="R4:R36" si="3">M4=Q4</f>
        <v>1</v>
      </c>
    </row>
    <row r="5" spans="1:18" s="3" customFormat="1" ht="19.95" customHeight="1">
      <c r="A5" s="125">
        <v>3</v>
      </c>
      <c r="B5" s="135" t="s">
        <v>128</v>
      </c>
      <c r="C5" s="149">
        <v>2</v>
      </c>
      <c r="D5" s="149">
        <v>1</v>
      </c>
      <c r="E5" s="149">
        <v>1</v>
      </c>
      <c r="F5" s="149">
        <v>0</v>
      </c>
      <c r="G5" s="149">
        <v>0</v>
      </c>
      <c r="H5" s="149">
        <v>1</v>
      </c>
      <c r="I5" s="149">
        <v>0</v>
      </c>
      <c r="J5" s="149">
        <v>1</v>
      </c>
      <c r="K5" s="149">
        <v>1</v>
      </c>
      <c r="L5" s="150">
        <v>50</v>
      </c>
      <c r="M5" s="150">
        <v>100</v>
      </c>
      <c r="N5" s="152"/>
      <c r="O5" s="3">
        <f t="shared" si="0"/>
        <v>50</v>
      </c>
      <c r="P5" s="3" t="b">
        <f t="shared" si="1"/>
        <v>1</v>
      </c>
      <c r="Q5" s="150">
        <f t="shared" si="2"/>
        <v>100</v>
      </c>
      <c r="R5" s="3" t="b">
        <f t="shared" si="3"/>
        <v>1</v>
      </c>
    </row>
    <row r="6" spans="1:18" s="3" customFormat="1" ht="19.95" customHeight="1">
      <c r="A6" s="125">
        <v>4</v>
      </c>
      <c r="B6" s="135" t="s">
        <v>177</v>
      </c>
      <c r="C6" s="149">
        <v>2</v>
      </c>
      <c r="D6" s="149">
        <v>1</v>
      </c>
      <c r="E6" s="149">
        <v>1</v>
      </c>
      <c r="F6" s="149">
        <v>0</v>
      </c>
      <c r="G6" s="149">
        <v>0</v>
      </c>
      <c r="H6" s="149">
        <v>1</v>
      </c>
      <c r="I6" s="149">
        <v>0</v>
      </c>
      <c r="J6" s="149">
        <v>1</v>
      </c>
      <c r="K6" s="149">
        <v>1</v>
      </c>
      <c r="L6" s="150">
        <v>50</v>
      </c>
      <c r="M6" s="150">
        <v>100</v>
      </c>
      <c r="N6" s="152"/>
      <c r="O6" s="3">
        <f t="shared" si="0"/>
        <v>50</v>
      </c>
      <c r="P6" s="3" t="b">
        <f t="shared" si="1"/>
        <v>1</v>
      </c>
      <c r="Q6" s="150">
        <f t="shared" si="2"/>
        <v>100</v>
      </c>
      <c r="R6" s="3" t="b">
        <f t="shared" si="3"/>
        <v>1</v>
      </c>
    </row>
    <row r="7" spans="1:18" s="3" customFormat="1" ht="19.95" customHeight="1">
      <c r="A7" s="125">
        <v>5</v>
      </c>
      <c r="B7" s="135" t="s">
        <v>175</v>
      </c>
      <c r="C7" s="149">
        <v>2</v>
      </c>
      <c r="D7" s="149">
        <v>1</v>
      </c>
      <c r="E7" s="149">
        <v>1</v>
      </c>
      <c r="F7" s="149">
        <v>0</v>
      </c>
      <c r="G7" s="149">
        <v>0</v>
      </c>
      <c r="H7" s="149">
        <v>1</v>
      </c>
      <c r="I7" s="149">
        <v>0</v>
      </c>
      <c r="J7" s="149">
        <v>1</v>
      </c>
      <c r="K7" s="149">
        <v>1</v>
      </c>
      <c r="L7" s="150">
        <v>50</v>
      </c>
      <c r="M7" s="150">
        <v>100</v>
      </c>
      <c r="N7" s="155"/>
      <c r="O7" s="3">
        <f t="shared" si="0"/>
        <v>50</v>
      </c>
      <c r="P7" s="3" t="b">
        <f t="shared" si="1"/>
        <v>1</v>
      </c>
      <c r="Q7" s="150">
        <f t="shared" si="2"/>
        <v>100</v>
      </c>
      <c r="R7" s="3" t="b">
        <f t="shared" si="3"/>
        <v>1</v>
      </c>
    </row>
    <row r="8" spans="1:18" s="3" customFormat="1" ht="19.95" customHeight="1">
      <c r="A8" s="125">
        <v>6</v>
      </c>
      <c r="B8" s="135" t="s">
        <v>186</v>
      </c>
      <c r="C8" s="149">
        <v>1</v>
      </c>
      <c r="D8" s="149">
        <v>1</v>
      </c>
      <c r="E8" s="149">
        <v>1</v>
      </c>
      <c r="F8" s="149">
        <v>0</v>
      </c>
      <c r="G8" s="149">
        <v>0</v>
      </c>
      <c r="H8" s="149">
        <v>0</v>
      </c>
      <c r="I8" s="149">
        <v>0</v>
      </c>
      <c r="J8" s="149">
        <v>0</v>
      </c>
      <c r="K8" s="149">
        <v>1</v>
      </c>
      <c r="L8" s="150">
        <v>100</v>
      </c>
      <c r="M8" s="150">
        <v>100</v>
      </c>
      <c r="N8" s="152"/>
      <c r="O8" s="3">
        <f t="shared" si="0"/>
        <v>100</v>
      </c>
      <c r="P8" s="3" t="b">
        <f t="shared" si="1"/>
        <v>1</v>
      </c>
      <c r="Q8" s="150">
        <f t="shared" si="2"/>
        <v>100</v>
      </c>
      <c r="R8" s="3" t="b">
        <f t="shared" si="3"/>
        <v>1</v>
      </c>
    </row>
    <row r="9" spans="1:18" s="3" customFormat="1" ht="19.95" customHeight="1">
      <c r="A9" s="125">
        <v>7</v>
      </c>
      <c r="B9" s="135" t="s">
        <v>176</v>
      </c>
      <c r="C9" s="149">
        <v>1</v>
      </c>
      <c r="D9" s="149">
        <v>1</v>
      </c>
      <c r="E9" s="149">
        <v>1</v>
      </c>
      <c r="F9" s="149">
        <v>0</v>
      </c>
      <c r="G9" s="149">
        <v>0</v>
      </c>
      <c r="H9" s="149">
        <v>0</v>
      </c>
      <c r="I9" s="149">
        <v>0</v>
      </c>
      <c r="J9" s="149">
        <v>0</v>
      </c>
      <c r="K9" s="149">
        <v>1</v>
      </c>
      <c r="L9" s="150">
        <v>100</v>
      </c>
      <c r="M9" s="150">
        <v>100</v>
      </c>
      <c r="N9" s="152"/>
      <c r="O9" s="3">
        <f t="shared" si="0"/>
        <v>100</v>
      </c>
      <c r="P9" s="3" t="b">
        <f t="shared" si="1"/>
        <v>1</v>
      </c>
      <c r="Q9" s="150">
        <f t="shared" si="2"/>
        <v>100</v>
      </c>
      <c r="R9" s="3" t="b">
        <f t="shared" si="3"/>
        <v>1</v>
      </c>
    </row>
    <row r="10" spans="1:18" s="3" customFormat="1" ht="19.95" customHeight="1">
      <c r="A10" s="125">
        <v>8</v>
      </c>
      <c r="B10" s="135" t="s">
        <v>185</v>
      </c>
      <c r="C10" s="149">
        <v>1</v>
      </c>
      <c r="D10" s="149">
        <v>1</v>
      </c>
      <c r="E10" s="149">
        <v>1</v>
      </c>
      <c r="F10" s="149">
        <v>0</v>
      </c>
      <c r="G10" s="149">
        <v>0</v>
      </c>
      <c r="H10" s="149">
        <v>0</v>
      </c>
      <c r="I10" s="149">
        <v>0</v>
      </c>
      <c r="J10" s="149">
        <v>0</v>
      </c>
      <c r="K10" s="149">
        <v>1</v>
      </c>
      <c r="L10" s="150">
        <v>100</v>
      </c>
      <c r="M10" s="150">
        <v>100</v>
      </c>
      <c r="N10" s="152"/>
      <c r="O10" s="3">
        <f t="shared" si="0"/>
        <v>100</v>
      </c>
      <c r="P10" s="3" t="b">
        <f t="shared" si="1"/>
        <v>1</v>
      </c>
      <c r="Q10" s="150">
        <f t="shared" si="2"/>
        <v>100</v>
      </c>
      <c r="R10" s="3" t="b">
        <f t="shared" si="3"/>
        <v>1</v>
      </c>
    </row>
    <row r="11" spans="1:18" s="3" customFormat="1" ht="19.95" customHeight="1">
      <c r="A11" s="125">
        <v>9</v>
      </c>
      <c r="B11" s="135" t="s">
        <v>180</v>
      </c>
      <c r="C11" s="149">
        <v>1</v>
      </c>
      <c r="D11" s="149">
        <v>1</v>
      </c>
      <c r="E11" s="149">
        <v>1</v>
      </c>
      <c r="F11" s="149">
        <v>0</v>
      </c>
      <c r="G11" s="149">
        <v>0</v>
      </c>
      <c r="H11" s="149">
        <v>0</v>
      </c>
      <c r="I11" s="149">
        <v>0</v>
      </c>
      <c r="J11" s="149">
        <v>0</v>
      </c>
      <c r="K11" s="149">
        <v>1</v>
      </c>
      <c r="L11" s="150">
        <v>100</v>
      </c>
      <c r="M11" s="150">
        <v>100</v>
      </c>
      <c r="N11" s="155"/>
      <c r="O11" s="3">
        <f t="shared" si="0"/>
        <v>100</v>
      </c>
      <c r="P11" s="3" t="b">
        <f t="shared" si="1"/>
        <v>1</v>
      </c>
      <c r="Q11" s="150">
        <f t="shared" si="2"/>
        <v>100</v>
      </c>
      <c r="R11" s="3" t="b">
        <f t="shared" si="3"/>
        <v>1</v>
      </c>
    </row>
    <row r="12" spans="1:18" s="3" customFormat="1" ht="19.95" customHeight="1">
      <c r="A12" s="125">
        <v>10</v>
      </c>
      <c r="B12" s="135" t="s">
        <v>179</v>
      </c>
      <c r="C12" s="149">
        <v>1</v>
      </c>
      <c r="D12" s="149">
        <v>1</v>
      </c>
      <c r="E12" s="149">
        <v>1</v>
      </c>
      <c r="F12" s="149">
        <v>0</v>
      </c>
      <c r="G12" s="149">
        <v>0</v>
      </c>
      <c r="H12" s="149">
        <v>0</v>
      </c>
      <c r="I12" s="149">
        <v>0</v>
      </c>
      <c r="J12" s="149">
        <v>0</v>
      </c>
      <c r="K12" s="149">
        <v>1</v>
      </c>
      <c r="L12" s="150">
        <v>100</v>
      </c>
      <c r="M12" s="150">
        <v>100</v>
      </c>
      <c r="N12" s="152"/>
      <c r="O12" s="3">
        <f t="shared" si="0"/>
        <v>100</v>
      </c>
      <c r="P12" s="3" t="b">
        <f t="shared" si="1"/>
        <v>1</v>
      </c>
      <c r="Q12" s="150">
        <f t="shared" si="2"/>
        <v>100</v>
      </c>
      <c r="R12" s="3" t="b">
        <f t="shared" si="3"/>
        <v>1</v>
      </c>
    </row>
    <row r="13" spans="1:18" s="3" customFormat="1" ht="19.95" customHeight="1">
      <c r="A13" s="125">
        <v>11</v>
      </c>
      <c r="B13" s="135" t="s">
        <v>184</v>
      </c>
      <c r="C13" s="149">
        <v>1</v>
      </c>
      <c r="D13" s="149">
        <v>1</v>
      </c>
      <c r="E13" s="149">
        <v>1</v>
      </c>
      <c r="F13" s="149">
        <v>0</v>
      </c>
      <c r="G13" s="149">
        <v>0</v>
      </c>
      <c r="H13" s="149">
        <v>0</v>
      </c>
      <c r="I13" s="149">
        <v>0</v>
      </c>
      <c r="J13" s="149">
        <v>0</v>
      </c>
      <c r="K13" s="149">
        <v>1</v>
      </c>
      <c r="L13" s="150">
        <v>100</v>
      </c>
      <c r="M13" s="150">
        <v>100</v>
      </c>
      <c r="N13" s="152"/>
      <c r="O13" s="3">
        <f t="shared" si="0"/>
        <v>100</v>
      </c>
      <c r="P13" s="3" t="b">
        <f t="shared" si="1"/>
        <v>1</v>
      </c>
      <c r="Q13" s="150">
        <f t="shared" si="2"/>
        <v>100</v>
      </c>
      <c r="R13" s="3" t="b">
        <f t="shared" si="3"/>
        <v>1</v>
      </c>
    </row>
    <row r="14" spans="1:18" s="3" customFormat="1" ht="19.95" customHeight="1">
      <c r="A14" s="125">
        <v>12</v>
      </c>
      <c r="B14" s="135" t="s">
        <v>189</v>
      </c>
      <c r="C14" s="149">
        <v>1</v>
      </c>
      <c r="D14" s="149">
        <v>1</v>
      </c>
      <c r="E14" s="149">
        <v>1</v>
      </c>
      <c r="F14" s="149">
        <v>0</v>
      </c>
      <c r="G14" s="149">
        <v>0</v>
      </c>
      <c r="H14" s="149">
        <v>0</v>
      </c>
      <c r="I14" s="149">
        <v>0</v>
      </c>
      <c r="J14" s="149">
        <v>0</v>
      </c>
      <c r="K14" s="149">
        <v>1</v>
      </c>
      <c r="L14" s="150">
        <v>100</v>
      </c>
      <c r="M14" s="150">
        <v>100</v>
      </c>
      <c r="N14" s="155"/>
      <c r="O14" s="3">
        <f t="shared" si="0"/>
        <v>100</v>
      </c>
      <c r="P14" s="3" t="b">
        <f t="shared" si="1"/>
        <v>1</v>
      </c>
      <c r="Q14" s="150">
        <f t="shared" si="2"/>
        <v>100</v>
      </c>
      <c r="R14" s="3" t="b">
        <f t="shared" si="3"/>
        <v>1</v>
      </c>
    </row>
    <row r="15" spans="1:18" s="3" customFormat="1" ht="19.95" customHeight="1">
      <c r="A15" s="125">
        <v>13</v>
      </c>
      <c r="B15" s="135" t="s">
        <v>190</v>
      </c>
      <c r="C15" s="149">
        <v>1</v>
      </c>
      <c r="D15" s="149">
        <v>1</v>
      </c>
      <c r="E15" s="149">
        <v>1</v>
      </c>
      <c r="F15" s="149">
        <v>0</v>
      </c>
      <c r="G15" s="149">
        <v>0</v>
      </c>
      <c r="H15" s="149">
        <v>0</v>
      </c>
      <c r="I15" s="149">
        <v>0</v>
      </c>
      <c r="J15" s="149">
        <v>0</v>
      </c>
      <c r="K15" s="149">
        <v>1</v>
      </c>
      <c r="L15" s="150">
        <v>100</v>
      </c>
      <c r="M15" s="150">
        <v>100</v>
      </c>
      <c r="N15" s="155"/>
      <c r="O15" s="3">
        <f t="shared" si="0"/>
        <v>100</v>
      </c>
      <c r="P15" s="3" t="b">
        <f t="shared" si="1"/>
        <v>1</v>
      </c>
      <c r="Q15" s="150">
        <f t="shared" si="2"/>
        <v>100</v>
      </c>
      <c r="R15" s="3" t="b">
        <f t="shared" si="3"/>
        <v>1</v>
      </c>
    </row>
    <row r="16" spans="1:18" s="3" customFormat="1" ht="19.95" customHeight="1">
      <c r="A16" s="125">
        <v>14</v>
      </c>
      <c r="B16" s="135" t="s">
        <v>183</v>
      </c>
      <c r="C16" s="149">
        <v>2</v>
      </c>
      <c r="D16" s="149">
        <v>2</v>
      </c>
      <c r="E16" s="149">
        <v>1</v>
      </c>
      <c r="F16" s="149">
        <v>0</v>
      </c>
      <c r="G16" s="149">
        <v>1</v>
      </c>
      <c r="H16" s="149">
        <v>0</v>
      </c>
      <c r="I16" s="149">
        <v>0</v>
      </c>
      <c r="J16" s="149">
        <v>0</v>
      </c>
      <c r="K16" s="149">
        <v>1</v>
      </c>
      <c r="L16" s="150">
        <v>50</v>
      </c>
      <c r="M16" s="150">
        <v>50</v>
      </c>
      <c r="N16" s="152"/>
      <c r="O16" s="3">
        <f t="shared" si="0"/>
        <v>50</v>
      </c>
      <c r="P16" s="3" t="b">
        <f t="shared" si="1"/>
        <v>1</v>
      </c>
      <c r="Q16" s="150">
        <f t="shared" si="2"/>
        <v>50</v>
      </c>
      <c r="R16" s="3" t="b">
        <f t="shared" si="3"/>
        <v>1</v>
      </c>
    </row>
    <row r="17" spans="1:18" s="3" customFormat="1" ht="19.95" customHeight="1">
      <c r="A17" s="125">
        <v>15</v>
      </c>
      <c r="B17" s="126" t="s">
        <v>187</v>
      </c>
      <c r="C17" s="125">
        <v>2</v>
      </c>
      <c r="D17" s="125">
        <v>2</v>
      </c>
      <c r="E17" s="125">
        <v>1</v>
      </c>
      <c r="F17" s="125">
        <v>1</v>
      </c>
      <c r="G17" s="125">
        <v>0</v>
      </c>
      <c r="H17" s="125">
        <v>0</v>
      </c>
      <c r="I17" s="125">
        <v>0</v>
      </c>
      <c r="J17" s="125">
        <v>0</v>
      </c>
      <c r="K17" s="125">
        <v>2</v>
      </c>
      <c r="L17" s="153">
        <v>100</v>
      </c>
      <c r="M17" s="153">
        <v>50</v>
      </c>
      <c r="N17" s="152"/>
      <c r="O17" s="3">
        <f t="shared" si="0"/>
        <v>100</v>
      </c>
      <c r="P17" s="3" t="b">
        <f t="shared" si="1"/>
        <v>1</v>
      </c>
      <c r="Q17" s="150">
        <f t="shared" si="2"/>
        <v>50</v>
      </c>
      <c r="R17" s="3" t="b">
        <f t="shared" si="3"/>
        <v>1</v>
      </c>
    </row>
    <row r="18" spans="1:18" s="3" customFormat="1" ht="19.95" customHeight="1">
      <c r="A18" s="125">
        <v>16</v>
      </c>
      <c r="B18" s="135" t="s">
        <v>188</v>
      </c>
      <c r="C18" s="149">
        <v>1</v>
      </c>
      <c r="D18" s="149">
        <v>1</v>
      </c>
      <c r="E18" s="149">
        <v>0</v>
      </c>
      <c r="F18" s="149">
        <v>0</v>
      </c>
      <c r="G18" s="149">
        <v>1</v>
      </c>
      <c r="H18" s="149">
        <v>0</v>
      </c>
      <c r="I18" s="149">
        <v>0</v>
      </c>
      <c r="J18" s="149">
        <v>0</v>
      </c>
      <c r="K18" s="149">
        <v>0</v>
      </c>
      <c r="L18" s="150">
        <v>0</v>
      </c>
      <c r="M18" s="172">
        <v>0</v>
      </c>
      <c r="N18" s="152"/>
      <c r="O18" s="3">
        <f t="shared" si="0"/>
        <v>0</v>
      </c>
      <c r="P18" s="3" t="b">
        <f t="shared" si="1"/>
        <v>1</v>
      </c>
      <c r="Q18" s="150">
        <f t="shared" si="2"/>
        <v>0</v>
      </c>
      <c r="R18" s="3" t="b">
        <f t="shared" si="3"/>
        <v>1</v>
      </c>
    </row>
    <row r="19" spans="1:18" s="3" customFormat="1" ht="19.95" customHeight="1">
      <c r="A19" s="125">
        <v>17</v>
      </c>
      <c r="B19" s="135" t="s">
        <v>195</v>
      </c>
      <c r="C19" s="149">
        <v>1</v>
      </c>
      <c r="D19" s="149">
        <v>0</v>
      </c>
      <c r="E19" s="149">
        <v>0</v>
      </c>
      <c r="F19" s="149">
        <v>0</v>
      </c>
      <c r="G19" s="149">
        <v>0</v>
      </c>
      <c r="H19" s="149">
        <v>1</v>
      </c>
      <c r="I19" s="149">
        <v>0</v>
      </c>
      <c r="J19" s="149">
        <v>1</v>
      </c>
      <c r="K19" s="149">
        <v>0</v>
      </c>
      <c r="L19" s="150">
        <v>0</v>
      </c>
      <c r="M19" s="150">
        <v>0</v>
      </c>
      <c r="N19" s="152"/>
      <c r="O19" s="3">
        <f t="shared" si="0"/>
        <v>0</v>
      </c>
      <c r="P19" s="3" t="b">
        <f t="shared" si="1"/>
        <v>1</v>
      </c>
      <c r="Q19" s="150">
        <f t="shared" si="2"/>
        <v>0</v>
      </c>
      <c r="R19" s="3" t="b">
        <f t="shared" si="3"/>
        <v>1</v>
      </c>
    </row>
    <row r="20" spans="1:18" s="3" customFormat="1" ht="19.95" customHeight="1">
      <c r="A20" s="125">
        <v>18</v>
      </c>
      <c r="B20" s="126" t="s">
        <v>178</v>
      </c>
      <c r="C20" s="125">
        <v>1</v>
      </c>
      <c r="D20" s="125">
        <v>0</v>
      </c>
      <c r="E20" s="125">
        <v>0</v>
      </c>
      <c r="F20" s="125">
        <v>0</v>
      </c>
      <c r="G20" s="125">
        <v>0</v>
      </c>
      <c r="H20" s="125">
        <v>1</v>
      </c>
      <c r="I20" s="125">
        <v>0</v>
      </c>
      <c r="J20" s="125">
        <v>1</v>
      </c>
      <c r="K20" s="125">
        <v>0</v>
      </c>
      <c r="L20" s="153">
        <v>0</v>
      </c>
      <c r="M20" s="153">
        <v>0</v>
      </c>
      <c r="N20" s="155"/>
      <c r="O20" s="3">
        <f t="shared" si="0"/>
        <v>0</v>
      </c>
      <c r="P20" s="3" t="b">
        <f t="shared" si="1"/>
        <v>1</v>
      </c>
      <c r="Q20" s="150">
        <f t="shared" si="2"/>
        <v>0</v>
      </c>
      <c r="R20" s="3" t="b">
        <f t="shared" si="3"/>
        <v>1</v>
      </c>
    </row>
    <row r="21" spans="1:18" s="3" customFormat="1" ht="19.95" customHeight="1">
      <c r="A21" s="125">
        <v>19</v>
      </c>
      <c r="B21" s="126" t="s">
        <v>199</v>
      </c>
      <c r="C21" s="125">
        <v>1</v>
      </c>
      <c r="D21" s="125">
        <v>0</v>
      </c>
      <c r="E21" s="125">
        <v>0</v>
      </c>
      <c r="F21" s="125">
        <v>0</v>
      </c>
      <c r="G21" s="125">
        <v>0</v>
      </c>
      <c r="H21" s="125">
        <v>1</v>
      </c>
      <c r="I21" s="125">
        <v>0</v>
      </c>
      <c r="J21" s="125">
        <v>1</v>
      </c>
      <c r="K21" s="125">
        <v>0</v>
      </c>
      <c r="L21" s="153">
        <v>0</v>
      </c>
      <c r="M21" s="153">
        <v>0</v>
      </c>
      <c r="N21" s="152"/>
      <c r="O21" s="3">
        <f t="shared" si="0"/>
        <v>0</v>
      </c>
      <c r="P21" s="3" t="b">
        <f t="shared" si="1"/>
        <v>1</v>
      </c>
      <c r="Q21" s="150">
        <f t="shared" si="2"/>
        <v>0</v>
      </c>
      <c r="R21" s="3" t="b">
        <f t="shared" si="3"/>
        <v>1</v>
      </c>
    </row>
    <row r="22" spans="1:18" s="3" customFormat="1" ht="19.95" customHeight="1">
      <c r="A22" s="125">
        <v>20</v>
      </c>
      <c r="B22" s="135" t="s">
        <v>200</v>
      </c>
      <c r="C22" s="149"/>
      <c r="D22" s="149"/>
      <c r="E22" s="149"/>
      <c r="F22" s="149"/>
      <c r="G22" s="149"/>
      <c r="H22" s="149"/>
      <c r="I22" s="149"/>
      <c r="J22" s="149"/>
      <c r="K22" s="149"/>
      <c r="L22" s="159"/>
      <c r="M22" s="159"/>
      <c r="N22" s="152"/>
      <c r="O22" s="3">
        <f t="shared" si="0"/>
        <v>0</v>
      </c>
      <c r="P22" s="3" t="b">
        <f t="shared" si="1"/>
        <v>1</v>
      </c>
      <c r="Q22" s="150">
        <f t="shared" si="2"/>
        <v>0</v>
      </c>
      <c r="R22" s="3" t="b">
        <f t="shared" si="3"/>
        <v>1</v>
      </c>
    </row>
    <row r="23" spans="1:18" s="3" customFormat="1" ht="19.95" customHeight="1">
      <c r="A23" s="125">
        <v>21</v>
      </c>
      <c r="B23" s="126" t="s">
        <v>201</v>
      </c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52"/>
      <c r="O23" s="3">
        <f t="shared" si="0"/>
        <v>0</v>
      </c>
      <c r="P23" s="3" t="b">
        <f t="shared" si="1"/>
        <v>1</v>
      </c>
      <c r="Q23" s="150">
        <f t="shared" si="2"/>
        <v>0</v>
      </c>
      <c r="R23" s="3" t="b">
        <f t="shared" si="3"/>
        <v>1</v>
      </c>
    </row>
    <row r="24" spans="1:18" s="3" customFormat="1" ht="19.95" customHeight="1">
      <c r="A24" s="125">
        <v>22</v>
      </c>
      <c r="B24" s="135" t="s">
        <v>191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50"/>
      <c r="M24" s="150"/>
      <c r="N24" s="152"/>
      <c r="O24" s="3">
        <f t="shared" si="0"/>
        <v>0</v>
      </c>
      <c r="P24" s="3" t="b">
        <f t="shared" si="1"/>
        <v>1</v>
      </c>
      <c r="Q24" s="150">
        <f t="shared" si="2"/>
        <v>0</v>
      </c>
      <c r="R24" s="3" t="b">
        <f t="shared" si="3"/>
        <v>1</v>
      </c>
    </row>
    <row r="25" spans="1:18" s="3" customFormat="1" ht="19.95" customHeight="1">
      <c r="A25" s="125">
        <v>23</v>
      </c>
      <c r="B25" s="126" t="s">
        <v>202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52"/>
      <c r="O25" s="3">
        <f t="shared" si="0"/>
        <v>0</v>
      </c>
      <c r="P25" s="3" t="b">
        <f t="shared" si="1"/>
        <v>1</v>
      </c>
      <c r="Q25" s="150">
        <f t="shared" si="2"/>
        <v>0</v>
      </c>
      <c r="R25" s="3" t="b">
        <f t="shared" si="3"/>
        <v>1</v>
      </c>
    </row>
    <row r="26" spans="1:18" s="3" customFormat="1" ht="19.95" customHeight="1">
      <c r="A26" s="125">
        <v>24</v>
      </c>
      <c r="B26" s="135" t="s">
        <v>203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59"/>
      <c r="M26" s="162"/>
      <c r="N26" s="152"/>
      <c r="O26" s="3">
        <f t="shared" si="0"/>
        <v>0</v>
      </c>
      <c r="P26" s="3" t="b">
        <f t="shared" si="1"/>
        <v>1</v>
      </c>
      <c r="Q26" s="150">
        <f t="shared" si="2"/>
        <v>0</v>
      </c>
      <c r="R26" s="3" t="b">
        <f t="shared" si="3"/>
        <v>1</v>
      </c>
    </row>
    <row r="27" spans="1:18" s="3" customFormat="1" ht="19.95" customHeight="1">
      <c r="A27" s="125">
        <v>25</v>
      </c>
      <c r="B27" s="135" t="s">
        <v>193</v>
      </c>
      <c r="C27" s="149"/>
      <c r="D27" s="149"/>
      <c r="E27" s="149"/>
      <c r="F27" s="149"/>
      <c r="G27" s="149"/>
      <c r="H27" s="149"/>
      <c r="I27" s="149"/>
      <c r="J27" s="149"/>
      <c r="K27" s="149"/>
      <c r="L27" s="150"/>
      <c r="M27" s="150"/>
      <c r="N27" s="152"/>
      <c r="O27" s="3">
        <f t="shared" si="0"/>
        <v>0</v>
      </c>
      <c r="P27" s="3" t="b">
        <f t="shared" si="1"/>
        <v>1</v>
      </c>
      <c r="Q27" s="150">
        <f t="shared" si="2"/>
        <v>0</v>
      </c>
      <c r="R27" s="3" t="b">
        <f t="shared" si="3"/>
        <v>1</v>
      </c>
    </row>
    <row r="28" spans="1:18" s="3" customFormat="1" ht="19.95" customHeight="1">
      <c r="A28" s="125">
        <v>26</v>
      </c>
      <c r="B28" s="135" t="s">
        <v>204</v>
      </c>
      <c r="C28" s="149"/>
      <c r="D28" s="149"/>
      <c r="E28" s="149"/>
      <c r="F28" s="149"/>
      <c r="G28" s="149"/>
      <c r="H28" s="149"/>
      <c r="I28" s="149"/>
      <c r="J28" s="149"/>
      <c r="K28" s="149"/>
      <c r="L28" s="159"/>
      <c r="M28" s="159"/>
      <c r="N28" s="152"/>
      <c r="O28" s="3">
        <f t="shared" si="0"/>
        <v>0</v>
      </c>
      <c r="P28" s="3" t="b">
        <f t="shared" si="1"/>
        <v>1</v>
      </c>
      <c r="Q28" s="150">
        <f t="shared" si="2"/>
        <v>0</v>
      </c>
      <c r="R28" s="3" t="b">
        <f t="shared" si="3"/>
        <v>1</v>
      </c>
    </row>
    <row r="29" spans="1:18" s="3" customFormat="1" ht="19.95" customHeight="1">
      <c r="A29" s="125">
        <v>27</v>
      </c>
      <c r="B29" s="135" t="s">
        <v>205</v>
      </c>
      <c r="C29" s="149"/>
      <c r="D29" s="149"/>
      <c r="E29" s="149"/>
      <c r="F29" s="149"/>
      <c r="G29" s="149"/>
      <c r="H29" s="149"/>
      <c r="I29" s="149"/>
      <c r="J29" s="149"/>
      <c r="K29" s="149"/>
      <c r="L29" s="150"/>
      <c r="M29" s="150"/>
      <c r="N29" s="160"/>
      <c r="O29" s="3">
        <f t="shared" si="0"/>
        <v>0</v>
      </c>
      <c r="P29" s="3" t="b">
        <f t="shared" si="1"/>
        <v>1</v>
      </c>
      <c r="Q29" s="150">
        <f>IFERROR(E29*100/D29,0)</f>
        <v>0</v>
      </c>
      <c r="R29" s="3" t="b">
        <f t="shared" si="3"/>
        <v>1</v>
      </c>
    </row>
    <row r="30" spans="1:18" s="3" customFormat="1" ht="19.95" customHeight="1">
      <c r="A30" s="125">
        <v>28</v>
      </c>
      <c r="B30" s="126" t="s">
        <v>192</v>
      </c>
      <c r="C30" s="125"/>
      <c r="D30" s="125"/>
      <c r="E30" s="125"/>
      <c r="F30" s="125"/>
      <c r="G30" s="125"/>
      <c r="H30" s="125"/>
      <c r="I30" s="125"/>
      <c r="J30" s="125"/>
      <c r="K30" s="125"/>
      <c r="L30" s="153"/>
      <c r="M30" s="153"/>
      <c r="N30" s="161"/>
      <c r="O30" s="3">
        <f t="shared" si="0"/>
        <v>0</v>
      </c>
      <c r="P30" s="3" t="b">
        <f t="shared" si="1"/>
        <v>1</v>
      </c>
      <c r="Q30" s="150">
        <f t="shared" si="2"/>
        <v>0</v>
      </c>
      <c r="R30" s="3" t="b">
        <f t="shared" si="3"/>
        <v>1</v>
      </c>
    </row>
    <row r="31" spans="1:18" s="3" customFormat="1" ht="19.95" customHeight="1">
      <c r="A31" s="125">
        <v>29</v>
      </c>
      <c r="B31" s="158" t="s">
        <v>196</v>
      </c>
      <c r="C31" s="149"/>
      <c r="D31" s="149"/>
      <c r="E31" s="149"/>
      <c r="F31" s="149"/>
      <c r="G31" s="149"/>
      <c r="H31" s="149"/>
      <c r="I31" s="149"/>
      <c r="J31" s="149"/>
      <c r="K31" s="149"/>
      <c r="L31" s="150"/>
      <c r="M31" s="150"/>
      <c r="N31" s="161"/>
      <c r="O31" s="3">
        <f t="shared" si="0"/>
        <v>0</v>
      </c>
      <c r="P31" s="3" t="b">
        <f t="shared" si="1"/>
        <v>1</v>
      </c>
      <c r="Q31" s="150">
        <f t="shared" si="2"/>
        <v>0</v>
      </c>
      <c r="R31" s="3" t="b">
        <f t="shared" si="3"/>
        <v>1</v>
      </c>
    </row>
    <row r="32" spans="1:18" s="3" customFormat="1" ht="19.95" customHeight="1">
      <c r="A32" s="125">
        <v>30</v>
      </c>
      <c r="B32" s="135" t="s">
        <v>197</v>
      </c>
      <c r="C32" s="149"/>
      <c r="D32" s="149"/>
      <c r="E32" s="149"/>
      <c r="F32" s="149"/>
      <c r="G32" s="149"/>
      <c r="H32" s="149"/>
      <c r="I32" s="149"/>
      <c r="J32" s="149"/>
      <c r="K32" s="149"/>
      <c r="L32" s="150"/>
      <c r="M32" s="150"/>
      <c r="N32" s="163"/>
      <c r="O32" s="3">
        <f t="shared" si="0"/>
        <v>0</v>
      </c>
      <c r="P32" s="3" t="b">
        <f t="shared" si="1"/>
        <v>1</v>
      </c>
      <c r="Q32" s="150">
        <f t="shared" si="2"/>
        <v>0</v>
      </c>
      <c r="R32" s="3" t="b">
        <f t="shared" si="3"/>
        <v>1</v>
      </c>
    </row>
    <row r="33" spans="1:18" s="3" customFormat="1" ht="19.95" customHeight="1">
      <c r="A33" s="125">
        <v>31</v>
      </c>
      <c r="B33" s="135" t="s">
        <v>198</v>
      </c>
      <c r="C33" s="149"/>
      <c r="D33" s="149"/>
      <c r="E33" s="149"/>
      <c r="F33" s="149"/>
      <c r="G33" s="149"/>
      <c r="H33" s="149"/>
      <c r="I33" s="149"/>
      <c r="J33" s="149"/>
      <c r="K33" s="149"/>
      <c r="L33" s="150"/>
      <c r="M33" s="150"/>
      <c r="N33" s="160"/>
      <c r="O33" s="3">
        <f t="shared" si="0"/>
        <v>0</v>
      </c>
      <c r="P33" s="3" t="b">
        <f t="shared" si="1"/>
        <v>1</v>
      </c>
      <c r="Q33" s="150">
        <f t="shared" si="2"/>
        <v>0</v>
      </c>
      <c r="R33" s="3" t="b">
        <f t="shared" si="3"/>
        <v>1</v>
      </c>
    </row>
    <row r="34" spans="1:18" s="3" customFormat="1" ht="19.95" customHeight="1">
      <c r="A34" s="125">
        <v>32</v>
      </c>
      <c r="B34" s="135" t="s">
        <v>194</v>
      </c>
      <c r="C34" s="149"/>
      <c r="D34" s="149"/>
      <c r="E34" s="149"/>
      <c r="F34" s="149"/>
      <c r="G34" s="149"/>
      <c r="H34" s="149"/>
      <c r="I34" s="149"/>
      <c r="J34" s="149"/>
      <c r="K34" s="149"/>
      <c r="L34" s="150"/>
      <c r="M34" s="150"/>
      <c r="N34" s="164"/>
      <c r="O34" s="3">
        <f t="shared" si="0"/>
        <v>0</v>
      </c>
      <c r="P34" s="3" t="b">
        <f t="shared" si="1"/>
        <v>1</v>
      </c>
      <c r="Q34" s="150">
        <f t="shared" si="2"/>
        <v>0</v>
      </c>
      <c r="R34" s="3" t="b">
        <f t="shared" si="3"/>
        <v>1</v>
      </c>
    </row>
    <row r="35" spans="1:18" s="3" customFormat="1" ht="19.95" customHeight="1">
      <c r="A35" s="125">
        <v>33</v>
      </c>
      <c r="B35" s="126" t="s">
        <v>206</v>
      </c>
      <c r="C35" s="165"/>
      <c r="D35" s="165"/>
      <c r="E35" s="165"/>
      <c r="F35" s="165"/>
      <c r="G35" s="165"/>
      <c r="H35" s="165"/>
      <c r="I35" s="165"/>
      <c r="J35" s="165"/>
      <c r="K35" s="165"/>
      <c r="L35" s="166"/>
      <c r="M35" s="166"/>
      <c r="N35" s="161"/>
      <c r="O35" s="3">
        <f t="shared" si="0"/>
        <v>0</v>
      </c>
      <c r="P35" s="3" t="b">
        <f t="shared" si="1"/>
        <v>1</v>
      </c>
      <c r="Q35" s="150">
        <f t="shared" si="2"/>
        <v>0</v>
      </c>
      <c r="R35" s="3" t="b">
        <f t="shared" si="3"/>
        <v>1</v>
      </c>
    </row>
    <row r="36" spans="1:18" s="3" customFormat="1" ht="19.95" customHeight="1">
      <c r="A36" s="125">
        <v>34</v>
      </c>
      <c r="B36" s="126" t="s">
        <v>207</v>
      </c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61"/>
      <c r="O36" s="3">
        <f t="shared" si="0"/>
        <v>0</v>
      </c>
      <c r="P36" s="3" t="b">
        <f t="shared" si="1"/>
        <v>1</v>
      </c>
      <c r="Q36" s="150">
        <f t="shared" si="2"/>
        <v>0</v>
      </c>
      <c r="R36" s="3" t="b">
        <f t="shared" si="3"/>
        <v>1</v>
      </c>
    </row>
    <row r="37" spans="1:18" s="3" customFormat="1" ht="19.95" customHeight="1">
      <c r="A37" s="167" t="s">
        <v>75</v>
      </c>
      <c r="B37" s="167"/>
      <c r="C37" s="168">
        <f>SUM(C3:C36)</f>
        <v>27</v>
      </c>
      <c r="D37" s="168">
        <f t="shared" ref="D37:K37" si="4">SUM(D3:D36)</f>
        <v>20</v>
      </c>
      <c r="E37" s="168">
        <f t="shared" si="4"/>
        <v>17</v>
      </c>
      <c r="F37" s="168">
        <f t="shared" si="4"/>
        <v>1</v>
      </c>
      <c r="G37" s="168">
        <f t="shared" si="4"/>
        <v>2</v>
      </c>
      <c r="H37" s="168">
        <f t="shared" si="4"/>
        <v>7</v>
      </c>
      <c r="I37" s="168">
        <f t="shared" si="4"/>
        <v>0</v>
      </c>
      <c r="J37" s="168">
        <f t="shared" si="4"/>
        <v>7</v>
      </c>
      <c r="K37" s="168">
        <f t="shared" si="4"/>
        <v>18</v>
      </c>
      <c r="L37" s="169">
        <f>IFERROR(SUM(E37+F37+I37)*100/C37,0)</f>
        <v>66.666666666666671</v>
      </c>
      <c r="M37" s="170">
        <f>IFERROR(E37*100/D37,0)</f>
        <v>85</v>
      </c>
      <c r="N37" s="171"/>
    </row>
  </sheetData>
  <mergeCells count="2">
    <mergeCell ref="A1:M1"/>
    <mergeCell ref="A37:B37"/>
  </mergeCells>
  <printOptions horizontalCentered="1"/>
  <pageMargins left="0.51181102362204722" right="0.51181102362204722" top="0.74803149606299213" bottom="0.74803149606299213" header="0.31496062992125984" footer="0.31496062992125984"/>
  <pageSetup paperSize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0873C-28BA-492A-AE1F-E838B7C70129}">
  <sheetPr codeName="Sheet15">
    <tabColor theme="5" tint="0.59999389629810485"/>
  </sheetPr>
  <dimension ref="A1:G22"/>
  <sheetViews>
    <sheetView zoomScale="115" zoomScaleNormal="115" workbookViewId="0">
      <selection activeCell="G15" sqref="G15"/>
    </sheetView>
  </sheetViews>
  <sheetFormatPr defaultColWidth="8.88671875" defaultRowHeight="14.4"/>
  <cols>
    <col min="1" max="1" width="8.109375" customWidth="1"/>
    <col min="2" max="2" width="43.44140625" bestFit="1" customWidth="1"/>
    <col min="3" max="3" width="13.6640625" customWidth="1"/>
    <col min="4" max="4" width="10.44140625" customWidth="1"/>
    <col min="5" max="5" width="31.33203125" customWidth="1"/>
    <col min="6" max="6" width="10.44140625" customWidth="1"/>
    <col min="7" max="7" width="15" customWidth="1"/>
  </cols>
  <sheetData>
    <row r="1" spans="1:7" ht="25.05" customHeight="1">
      <c r="A1" s="173" t="s">
        <v>208</v>
      </c>
      <c r="B1" s="174"/>
      <c r="C1" s="174"/>
      <c r="D1" s="174"/>
      <c r="E1" s="174"/>
      <c r="F1" s="174"/>
      <c r="G1" s="174"/>
    </row>
    <row r="2" spans="1:7" s="68" customFormat="1" ht="43.8" customHeight="1">
      <c r="A2" s="175" t="s">
        <v>86</v>
      </c>
      <c r="B2" s="175" t="s">
        <v>209</v>
      </c>
      <c r="C2" s="175" t="s">
        <v>210</v>
      </c>
      <c r="D2" s="175" t="s">
        <v>211</v>
      </c>
      <c r="E2" s="175" t="s">
        <v>212</v>
      </c>
      <c r="F2" s="175" t="s">
        <v>213</v>
      </c>
      <c r="G2" s="175" t="s">
        <v>214</v>
      </c>
    </row>
    <row r="3" spans="1:7" ht="22.05" customHeight="1">
      <c r="A3" s="176">
        <v>1</v>
      </c>
      <c r="B3" s="177" t="s">
        <v>215</v>
      </c>
      <c r="C3" s="178">
        <v>9441565657</v>
      </c>
      <c r="D3" s="178">
        <v>2306</v>
      </c>
      <c r="E3" s="177" t="s">
        <v>216</v>
      </c>
      <c r="F3" s="178">
        <v>9</v>
      </c>
      <c r="G3" s="178">
        <v>16</v>
      </c>
    </row>
    <row r="4" spans="1:7" ht="22.05" customHeight="1">
      <c r="A4" s="176">
        <v>2</v>
      </c>
      <c r="B4" s="177" t="s">
        <v>217</v>
      </c>
      <c r="C4" s="178">
        <v>9959549269</v>
      </c>
      <c r="D4" s="178">
        <v>1552</v>
      </c>
      <c r="E4" s="177" t="s">
        <v>218</v>
      </c>
      <c r="F4" s="178">
        <v>4</v>
      </c>
      <c r="G4" s="178">
        <v>89</v>
      </c>
    </row>
    <row r="5" spans="1:7" ht="22.05" customHeight="1">
      <c r="A5" s="176">
        <v>3</v>
      </c>
      <c r="B5" s="177" t="s">
        <v>219</v>
      </c>
      <c r="C5" s="178">
        <v>9441051344</v>
      </c>
      <c r="D5" s="178">
        <v>2947</v>
      </c>
      <c r="E5" s="177" t="s">
        <v>220</v>
      </c>
      <c r="F5" s="178">
        <v>3</v>
      </c>
      <c r="G5" s="178">
        <v>29</v>
      </c>
    </row>
    <row r="6" spans="1:7" ht="22.05" customHeight="1">
      <c r="A6" s="176">
        <v>4</v>
      </c>
      <c r="B6" s="177" t="s">
        <v>221</v>
      </c>
      <c r="C6" s="178">
        <v>9912155700</v>
      </c>
      <c r="D6" s="178">
        <v>914</v>
      </c>
      <c r="E6" s="177" t="s">
        <v>222</v>
      </c>
      <c r="F6" s="178">
        <v>1</v>
      </c>
      <c r="G6" s="178">
        <v>0</v>
      </c>
    </row>
    <row r="7" spans="1:7" ht="22.05" customHeight="1">
      <c r="A7" s="176">
        <v>5</v>
      </c>
      <c r="B7" s="177" t="s">
        <v>223</v>
      </c>
      <c r="C7" s="178">
        <v>9704205438</v>
      </c>
      <c r="D7" s="176" t="s">
        <v>224</v>
      </c>
      <c r="E7" s="177" t="s">
        <v>225</v>
      </c>
      <c r="F7" s="178">
        <v>1</v>
      </c>
      <c r="G7" s="178">
        <v>0</v>
      </c>
    </row>
    <row r="8" spans="1:7" ht="22.05" customHeight="1">
      <c r="A8" s="176">
        <v>6</v>
      </c>
      <c r="B8" s="177" t="s">
        <v>226</v>
      </c>
      <c r="C8" s="178">
        <v>9000354645</v>
      </c>
      <c r="D8" s="178">
        <v>4437</v>
      </c>
      <c r="E8" s="177" t="s">
        <v>216</v>
      </c>
      <c r="F8" s="178">
        <v>0</v>
      </c>
      <c r="G8" s="178">
        <v>48</v>
      </c>
    </row>
    <row r="9" spans="1:7" ht="22.05" customHeight="1">
      <c r="A9" s="176">
        <v>7</v>
      </c>
      <c r="B9" s="177" t="s">
        <v>227</v>
      </c>
      <c r="C9" s="178">
        <v>8500956545</v>
      </c>
      <c r="D9" s="178">
        <v>819</v>
      </c>
      <c r="E9" s="177" t="s">
        <v>228</v>
      </c>
      <c r="F9" s="178">
        <v>0</v>
      </c>
      <c r="G9" s="178">
        <v>11</v>
      </c>
    </row>
    <row r="10" spans="1:7" ht="22.05" customHeight="1">
      <c r="A10" s="176">
        <v>8</v>
      </c>
      <c r="B10" s="177" t="s">
        <v>229</v>
      </c>
      <c r="C10" s="178">
        <v>8639257349</v>
      </c>
      <c r="D10" s="178">
        <v>4586</v>
      </c>
      <c r="E10" s="177" t="s">
        <v>230</v>
      </c>
      <c r="F10" s="178">
        <v>0</v>
      </c>
      <c r="G10" s="178">
        <v>3</v>
      </c>
    </row>
    <row r="11" spans="1:7" ht="22.05" customHeight="1">
      <c r="A11" s="176">
        <v>9</v>
      </c>
      <c r="B11" s="177" t="s">
        <v>231</v>
      </c>
      <c r="C11" s="178">
        <v>9948889992</v>
      </c>
      <c r="D11" s="178">
        <v>403</v>
      </c>
      <c r="E11" s="177" t="s">
        <v>228</v>
      </c>
      <c r="F11" s="178">
        <v>0</v>
      </c>
      <c r="G11" s="178">
        <v>3</v>
      </c>
    </row>
    <row r="12" spans="1:7" ht="22.05" customHeight="1">
      <c r="A12" s="176">
        <v>10</v>
      </c>
      <c r="B12" s="177" t="s">
        <v>232</v>
      </c>
      <c r="C12" s="178">
        <v>8328362882</v>
      </c>
      <c r="D12" s="178">
        <v>1389</v>
      </c>
      <c r="E12" s="177" t="s">
        <v>220</v>
      </c>
      <c r="F12" s="178">
        <v>0</v>
      </c>
      <c r="G12" s="178">
        <v>2</v>
      </c>
    </row>
    <row r="13" spans="1:7" ht="22.05" customHeight="1">
      <c r="A13" s="176">
        <v>11</v>
      </c>
      <c r="B13" s="177" t="s">
        <v>233</v>
      </c>
      <c r="C13" s="178">
        <v>9440044018</v>
      </c>
      <c r="D13" s="178">
        <v>2065</v>
      </c>
      <c r="E13" s="177" t="s">
        <v>234</v>
      </c>
      <c r="F13" s="178">
        <v>0</v>
      </c>
      <c r="G13" s="178">
        <v>2</v>
      </c>
    </row>
    <row r="14" spans="1:7" ht="22.05" customHeight="1">
      <c r="A14" s="176">
        <v>12</v>
      </c>
      <c r="B14" s="177" t="s">
        <v>235</v>
      </c>
      <c r="C14" s="178">
        <v>9492323402</v>
      </c>
      <c r="D14" s="178">
        <v>1837</v>
      </c>
      <c r="E14" s="177" t="s">
        <v>236</v>
      </c>
      <c r="F14" s="178">
        <v>0</v>
      </c>
      <c r="G14" s="178">
        <v>2</v>
      </c>
    </row>
    <row r="15" spans="1:7">
      <c r="A15" s="176">
        <v>13</v>
      </c>
      <c r="B15" s="177" t="s">
        <v>237</v>
      </c>
      <c r="C15" s="178">
        <v>9885436654</v>
      </c>
      <c r="D15" s="178">
        <v>3238</v>
      </c>
      <c r="E15" s="177" t="s">
        <v>238</v>
      </c>
      <c r="F15" s="178">
        <v>0</v>
      </c>
      <c r="G15" s="178">
        <v>1</v>
      </c>
    </row>
    <row r="16" spans="1:7">
      <c r="A16" s="176">
        <v>14</v>
      </c>
      <c r="B16" s="177" t="s">
        <v>239</v>
      </c>
      <c r="C16" s="178">
        <v>7386230230</v>
      </c>
      <c r="D16" s="178">
        <v>2387</v>
      </c>
      <c r="E16" s="177" t="s">
        <v>240</v>
      </c>
      <c r="F16" s="178">
        <v>0</v>
      </c>
      <c r="G16" s="178">
        <v>1</v>
      </c>
    </row>
    <row r="17" spans="1:7">
      <c r="A17" s="176">
        <v>15</v>
      </c>
      <c r="B17" s="177" t="s">
        <v>241</v>
      </c>
      <c r="C17" s="178">
        <v>9160449575</v>
      </c>
      <c r="D17" s="178">
        <v>4633</v>
      </c>
      <c r="E17" s="177" t="s">
        <v>240</v>
      </c>
      <c r="F17" s="178">
        <v>0</v>
      </c>
      <c r="G17" s="178">
        <v>1</v>
      </c>
    </row>
    <row r="18" spans="1:7">
      <c r="A18" s="176">
        <v>16</v>
      </c>
      <c r="B18" s="177" t="s">
        <v>242</v>
      </c>
      <c r="C18" s="178">
        <v>9491776638</v>
      </c>
      <c r="D18" s="178">
        <v>2146</v>
      </c>
      <c r="E18" s="177" t="s">
        <v>240</v>
      </c>
      <c r="F18" s="178">
        <v>0</v>
      </c>
      <c r="G18" s="178">
        <v>1</v>
      </c>
    </row>
    <row r="19" spans="1:7">
      <c r="A19" s="176">
        <v>17</v>
      </c>
      <c r="B19" s="177" t="s">
        <v>243</v>
      </c>
      <c r="C19" s="178">
        <v>9440741829</v>
      </c>
      <c r="D19" s="178">
        <v>2950</v>
      </c>
      <c r="E19" s="177" t="s">
        <v>244</v>
      </c>
      <c r="F19" s="178">
        <v>0</v>
      </c>
      <c r="G19" s="178">
        <v>1</v>
      </c>
    </row>
    <row r="20" spans="1:7">
      <c r="A20" s="176">
        <v>18</v>
      </c>
      <c r="B20" s="177" t="s">
        <v>245</v>
      </c>
      <c r="C20" s="178">
        <v>9703120738</v>
      </c>
      <c r="D20" s="178">
        <v>2678</v>
      </c>
      <c r="E20" s="177" t="s">
        <v>246</v>
      </c>
      <c r="F20" s="178">
        <v>0</v>
      </c>
      <c r="G20" s="178">
        <v>1</v>
      </c>
    </row>
    <row r="21" spans="1:7">
      <c r="A21" s="176">
        <v>19</v>
      </c>
      <c r="B21" s="177" t="s">
        <v>247</v>
      </c>
      <c r="C21" s="178">
        <v>9440255164</v>
      </c>
      <c r="D21" s="178">
        <v>745</v>
      </c>
      <c r="E21" s="177" t="s">
        <v>225</v>
      </c>
      <c r="F21" s="178">
        <v>0</v>
      </c>
      <c r="G21" s="178">
        <v>1</v>
      </c>
    </row>
    <row r="22" spans="1:7">
      <c r="A22" s="179" t="s">
        <v>248</v>
      </c>
      <c r="B22" s="180"/>
      <c r="C22" s="180"/>
      <c r="D22" s="180"/>
      <c r="E22" s="180"/>
      <c r="F22" s="180"/>
      <c r="G22" s="180"/>
    </row>
  </sheetData>
  <mergeCells count="2">
    <mergeCell ref="A1:G1"/>
    <mergeCell ref="A22:G22"/>
  </mergeCells>
  <printOptions horizontalCentered="1"/>
  <pageMargins left="0.70866141732283472" right="0.70866141732283472" top="0.74803149606299213" bottom="0.74803149606299213" header="0.31496062992125984" footer="0.31496062992125984"/>
  <pageSetup paperSize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10D8-CECB-4557-926E-105A68CEB4B7}">
  <sheetPr codeName="Sheet3">
    <tabColor rgb="FFFFFF00"/>
    <pageSetUpPr fitToPage="1"/>
  </sheetPr>
  <dimension ref="A1:N38"/>
  <sheetViews>
    <sheetView zoomScaleNormal="100" workbookViewId="0">
      <selection activeCell="N8" sqref="N8"/>
    </sheetView>
  </sheetViews>
  <sheetFormatPr defaultRowHeight="14.4"/>
  <cols>
    <col min="1" max="1" width="5.21875" style="51" bestFit="1" customWidth="1"/>
    <col min="2" max="2" width="26.5546875" bestFit="1" customWidth="1"/>
    <col min="3" max="3" width="12.21875" customWidth="1"/>
    <col min="4" max="12" width="12.77734375" customWidth="1"/>
    <col min="14" max="14" width="44" customWidth="1"/>
  </cols>
  <sheetData>
    <row r="1" spans="1:14" ht="29.4" customHeight="1">
      <c r="A1" s="181" t="str">
        <f ca="1">"MedLEaPR Application usage report of Chittoor District from "&amp;TEXT(DATE(2026,1,1),"dd-mm-yyyy")&amp;" to "&amp;TEXT(TODAY()-1,"dd-mm-yyyy")</f>
        <v>MedLEaPR Application usage report of Chittoor District from 01-01-2026 to 02-06-2026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</row>
    <row r="2" spans="1:14" ht="16.8" customHeight="1">
      <c r="A2" s="182" t="s">
        <v>165</v>
      </c>
      <c r="B2" s="183" t="s">
        <v>249</v>
      </c>
      <c r="C2" s="183" t="s">
        <v>250</v>
      </c>
      <c r="D2" s="184" t="s">
        <v>251</v>
      </c>
      <c r="E2" s="184"/>
      <c r="F2" s="184"/>
      <c r="G2" s="184"/>
      <c r="H2" s="185" t="s">
        <v>252</v>
      </c>
      <c r="I2" s="185"/>
      <c r="J2" s="185"/>
      <c r="K2" s="185"/>
      <c r="L2" s="185"/>
    </row>
    <row r="3" spans="1:14" ht="61.2" customHeight="1">
      <c r="A3" s="182"/>
      <c r="B3" s="183"/>
      <c r="C3" s="183"/>
      <c r="D3" s="124" t="s">
        <v>253</v>
      </c>
      <c r="E3" s="124" t="s">
        <v>254</v>
      </c>
      <c r="F3" s="124" t="s">
        <v>255</v>
      </c>
      <c r="G3" s="124" t="s">
        <v>256</v>
      </c>
      <c r="H3" s="124" t="s">
        <v>257</v>
      </c>
      <c r="I3" s="124" t="s">
        <v>258</v>
      </c>
      <c r="J3" s="124" t="s">
        <v>259</v>
      </c>
      <c r="K3" s="124" t="s">
        <v>260</v>
      </c>
      <c r="L3" s="124" t="s">
        <v>261</v>
      </c>
    </row>
    <row r="4" spans="1:14" s="112" customFormat="1" ht="22.95" customHeight="1">
      <c r="A4" s="125">
        <v>1</v>
      </c>
      <c r="B4" s="186" t="s">
        <v>59</v>
      </c>
      <c r="C4" s="187">
        <v>81</v>
      </c>
      <c r="D4" s="149">
        <v>58</v>
      </c>
      <c r="E4" s="149">
        <v>57</v>
      </c>
      <c r="F4" s="149">
        <v>0</v>
      </c>
      <c r="G4" s="149">
        <v>58</v>
      </c>
      <c r="H4" s="149">
        <v>23</v>
      </c>
      <c r="I4" s="149">
        <v>22</v>
      </c>
      <c r="J4" s="149">
        <v>0</v>
      </c>
      <c r="K4" s="149">
        <v>23</v>
      </c>
      <c r="L4" s="149">
        <v>0</v>
      </c>
      <c r="N4" s="188"/>
    </row>
    <row r="5" spans="1:14" s="112" customFormat="1" ht="22.95" customHeight="1">
      <c r="A5" s="125">
        <v>2</v>
      </c>
      <c r="B5" s="186" t="s">
        <v>57</v>
      </c>
      <c r="C5" s="187">
        <v>80</v>
      </c>
      <c r="D5" s="149">
        <v>74</v>
      </c>
      <c r="E5" s="149">
        <v>73</v>
      </c>
      <c r="F5" s="149">
        <v>0</v>
      </c>
      <c r="G5" s="149">
        <v>74</v>
      </c>
      <c r="H5" s="149">
        <v>6</v>
      </c>
      <c r="I5" s="149">
        <v>6</v>
      </c>
      <c r="J5" s="149">
        <v>0</v>
      </c>
      <c r="K5" s="149">
        <v>6</v>
      </c>
      <c r="L5" s="149">
        <v>0</v>
      </c>
    </row>
    <row r="6" spans="1:14" s="112" customFormat="1" ht="22.95" customHeight="1">
      <c r="A6" s="125">
        <v>3</v>
      </c>
      <c r="B6" s="186" t="s">
        <v>43</v>
      </c>
      <c r="C6" s="187">
        <v>47</v>
      </c>
      <c r="D6" s="149">
        <v>40</v>
      </c>
      <c r="E6" s="149">
        <v>40</v>
      </c>
      <c r="F6" s="149">
        <v>0</v>
      </c>
      <c r="G6" s="149">
        <v>40</v>
      </c>
      <c r="H6" s="149">
        <v>7</v>
      </c>
      <c r="I6" s="149">
        <v>7</v>
      </c>
      <c r="J6" s="149">
        <v>0</v>
      </c>
      <c r="K6" s="149">
        <v>7</v>
      </c>
      <c r="L6" s="149">
        <v>0</v>
      </c>
    </row>
    <row r="7" spans="1:14" s="112" customFormat="1" ht="22.95" customHeight="1">
      <c r="A7" s="125">
        <v>4</v>
      </c>
      <c r="B7" s="186" t="s">
        <v>49</v>
      </c>
      <c r="C7" s="187">
        <v>47</v>
      </c>
      <c r="D7" s="149">
        <v>33</v>
      </c>
      <c r="E7" s="149">
        <v>33</v>
      </c>
      <c r="F7" s="149">
        <v>0</v>
      </c>
      <c r="G7" s="149">
        <v>33</v>
      </c>
      <c r="H7" s="149">
        <v>14</v>
      </c>
      <c r="I7" s="149">
        <v>14</v>
      </c>
      <c r="J7" s="149">
        <v>1</v>
      </c>
      <c r="K7" s="149">
        <v>13</v>
      </c>
      <c r="L7" s="149">
        <v>0</v>
      </c>
    </row>
    <row r="8" spans="1:14" s="112" customFormat="1" ht="22.95" customHeight="1">
      <c r="A8" s="125">
        <v>5</v>
      </c>
      <c r="B8" s="186" t="s">
        <v>69</v>
      </c>
      <c r="C8" s="187">
        <v>46</v>
      </c>
      <c r="D8" s="149">
        <v>27</v>
      </c>
      <c r="E8" s="149">
        <v>27</v>
      </c>
      <c r="F8" s="149">
        <v>0</v>
      </c>
      <c r="G8" s="149">
        <v>27</v>
      </c>
      <c r="H8" s="149">
        <v>19</v>
      </c>
      <c r="I8" s="149">
        <v>19</v>
      </c>
      <c r="J8" s="149">
        <v>0</v>
      </c>
      <c r="K8" s="149">
        <v>19</v>
      </c>
      <c r="L8" s="149">
        <v>0</v>
      </c>
    </row>
    <row r="9" spans="1:14" s="112" customFormat="1" ht="22.95" customHeight="1">
      <c r="A9" s="125">
        <v>6</v>
      </c>
      <c r="B9" s="186" t="s">
        <v>47</v>
      </c>
      <c r="C9" s="149">
        <v>45</v>
      </c>
      <c r="D9" s="149">
        <v>31</v>
      </c>
      <c r="E9" s="149">
        <v>30</v>
      </c>
      <c r="F9" s="149">
        <v>0</v>
      </c>
      <c r="G9" s="149">
        <v>31</v>
      </c>
      <c r="H9" s="149">
        <v>14</v>
      </c>
      <c r="I9" s="149">
        <v>14</v>
      </c>
      <c r="J9" s="149">
        <v>0</v>
      </c>
      <c r="K9" s="149">
        <v>14</v>
      </c>
      <c r="L9" s="149">
        <v>0</v>
      </c>
    </row>
    <row r="10" spans="1:14" s="112" customFormat="1" ht="22.95" customHeight="1">
      <c r="A10" s="125">
        <v>7</v>
      </c>
      <c r="B10" s="186" t="s">
        <v>60</v>
      </c>
      <c r="C10" s="149">
        <v>40</v>
      </c>
      <c r="D10" s="149">
        <v>23</v>
      </c>
      <c r="E10" s="149">
        <v>21</v>
      </c>
      <c r="F10" s="149">
        <v>0</v>
      </c>
      <c r="G10" s="149">
        <v>23</v>
      </c>
      <c r="H10" s="149">
        <v>17</v>
      </c>
      <c r="I10" s="149">
        <v>17</v>
      </c>
      <c r="J10" s="149">
        <v>1</v>
      </c>
      <c r="K10" s="149">
        <v>16</v>
      </c>
      <c r="L10" s="149">
        <v>0</v>
      </c>
    </row>
    <row r="11" spans="1:14" s="112" customFormat="1" ht="22.95" customHeight="1">
      <c r="A11" s="125">
        <v>8</v>
      </c>
      <c r="B11" s="186" t="s">
        <v>54</v>
      </c>
      <c r="C11" s="149">
        <v>38</v>
      </c>
      <c r="D11" s="149">
        <v>27</v>
      </c>
      <c r="E11" s="149">
        <v>27</v>
      </c>
      <c r="F11" s="149">
        <v>0</v>
      </c>
      <c r="G11" s="149">
        <v>27</v>
      </c>
      <c r="H11" s="149">
        <v>11</v>
      </c>
      <c r="I11" s="149">
        <v>10</v>
      </c>
      <c r="J11" s="149">
        <v>0</v>
      </c>
      <c r="K11" s="149">
        <v>11</v>
      </c>
      <c r="L11" s="149">
        <v>0</v>
      </c>
    </row>
    <row r="12" spans="1:14" s="112" customFormat="1" ht="22.95" customHeight="1">
      <c r="A12" s="125">
        <v>9</v>
      </c>
      <c r="B12" s="186" t="s">
        <v>44</v>
      </c>
      <c r="C12" s="149">
        <v>37</v>
      </c>
      <c r="D12" s="149">
        <v>32</v>
      </c>
      <c r="E12" s="149">
        <v>32</v>
      </c>
      <c r="F12" s="149">
        <v>3</v>
      </c>
      <c r="G12" s="149">
        <v>29</v>
      </c>
      <c r="H12" s="149">
        <v>5</v>
      </c>
      <c r="I12" s="149">
        <v>5</v>
      </c>
      <c r="J12" s="149">
        <v>1</v>
      </c>
      <c r="K12" s="149">
        <v>4</v>
      </c>
      <c r="L12" s="149">
        <v>0</v>
      </c>
    </row>
    <row r="13" spans="1:14" s="112" customFormat="1" ht="22.95" customHeight="1">
      <c r="A13" s="125">
        <v>10</v>
      </c>
      <c r="B13" s="186" t="s">
        <v>50</v>
      </c>
      <c r="C13" s="149">
        <v>34</v>
      </c>
      <c r="D13" s="149">
        <v>17</v>
      </c>
      <c r="E13" s="149">
        <v>17</v>
      </c>
      <c r="F13" s="149">
        <v>0</v>
      </c>
      <c r="G13" s="149">
        <v>17</v>
      </c>
      <c r="H13" s="149">
        <v>17</v>
      </c>
      <c r="I13" s="149">
        <v>17</v>
      </c>
      <c r="J13" s="149">
        <v>0</v>
      </c>
      <c r="K13" s="149">
        <v>17</v>
      </c>
      <c r="L13" s="149">
        <v>0</v>
      </c>
    </row>
    <row r="14" spans="1:14" s="112" customFormat="1" ht="22.95" customHeight="1">
      <c r="A14" s="125">
        <v>11</v>
      </c>
      <c r="B14" s="186" t="s">
        <v>68</v>
      </c>
      <c r="C14" s="149">
        <v>32</v>
      </c>
      <c r="D14" s="149">
        <v>27</v>
      </c>
      <c r="E14" s="149">
        <v>27</v>
      </c>
      <c r="F14" s="149">
        <v>0</v>
      </c>
      <c r="G14" s="149">
        <v>27</v>
      </c>
      <c r="H14" s="149">
        <v>5</v>
      </c>
      <c r="I14" s="149">
        <v>5</v>
      </c>
      <c r="J14" s="149">
        <v>0</v>
      </c>
      <c r="K14" s="149">
        <v>5</v>
      </c>
      <c r="L14" s="149">
        <v>0</v>
      </c>
    </row>
    <row r="15" spans="1:14" s="112" customFormat="1" ht="22.95" customHeight="1">
      <c r="A15" s="125">
        <v>12</v>
      </c>
      <c r="B15" s="186" t="s">
        <v>64</v>
      </c>
      <c r="C15" s="149">
        <v>27</v>
      </c>
      <c r="D15" s="149">
        <v>19</v>
      </c>
      <c r="E15" s="149">
        <v>19</v>
      </c>
      <c r="F15" s="149">
        <v>0</v>
      </c>
      <c r="G15" s="149">
        <v>19</v>
      </c>
      <c r="H15" s="149">
        <v>8</v>
      </c>
      <c r="I15" s="149">
        <v>6</v>
      </c>
      <c r="J15" s="149">
        <v>0</v>
      </c>
      <c r="K15" s="149">
        <v>8</v>
      </c>
      <c r="L15" s="149">
        <v>0</v>
      </c>
    </row>
    <row r="16" spans="1:14" s="112" customFormat="1" ht="22.95" customHeight="1">
      <c r="A16" s="125">
        <v>13</v>
      </c>
      <c r="B16" s="186" t="s">
        <v>63</v>
      </c>
      <c r="C16" s="149">
        <v>27</v>
      </c>
      <c r="D16" s="149">
        <v>20</v>
      </c>
      <c r="E16" s="149">
        <v>16</v>
      </c>
      <c r="F16" s="149">
        <v>0</v>
      </c>
      <c r="G16" s="149">
        <v>20</v>
      </c>
      <c r="H16" s="149">
        <v>7</v>
      </c>
      <c r="I16" s="149">
        <v>6</v>
      </c>
      <c r="J16" s="149">
        <v>0</v>
      </c>
      <c r="K16" s="149">
        <v>7</v>
      </c>
      <c r="L16" s="149">
        <v>0</v>
      </c>
    </row>
    <row r="17" spans="1:12" s="112" customFormat="1" ht="22.95" customHeight="1">
      <c r="A17" s="125">
        <v>14</v>
      </c>
      <c r="B17" s="186" t="s">
        <v>71</v>
      </c>
      <c r="C17" s="149">
        <v>26</v>
      </c>
      <c r="D17" s="149">
        <v>12</v>
      </c>
      <c r="E17" s="149">
        <v>12</v>
      </c>
      <c r="F17" s="149">
        <v>0</v>
      </c>
      <c r="G17" s="149">
        <v>12</v>
      </c>
      <c r="H17" s="149">
        <v>14</v>
      </c>
      <c r="I17" s="149">
        <v>14</v>
      </c>
      <c r="J17" s="149">
        <v>0</v>
      </c>
      <c r="K17" s="149">
        <v>14</v>
      </c>
      <c r="L17" s="149">
        <v>0</v>
      </c>
    </row>
    <row r="18" spans="1:12" s="112" customFormat="1" ht="22.95" customHeight="1">
      <c r="A18" s="125">
        <v>15</v>
      </c>
      <c r="B18" s="186" t="s">
        <v>56</v>
      </c>
      <c r="C18" s="149">
        <v>26</v>
      </c>
      <c r="D18" s="149">
        <v>7</v>
      </c>
      <c r="E18" s="149">
        <v>7</v>
      </c>
      <c r="F18" s="149">
        <v>0</v>
      </c>
      <c r="G18" s="149">
        <v>7</v>
      </c>
      <c r="H18" s="149">
        <v>19</v>
      </c>
      <c r="I18" s="149">
        <v>19</v>
      </c>
      <c r="J18" s="149">
        <v>1</v>
      </c>
      <c r="K18" s="149">
        <v>18</v>
      </c>
      <c r="L18" s="149">
        <v>0</v>
      </c>
    </row>
    <row r="19" spans="1:12" s="112" customFormat="1" ht="22.95" customHeight="1">
      <c r="A19" s="125">
        <v>16</v>
      </c>
      <c r="B19" s="186" t="s">
        <v>53</v>
      </c>
      <c r="C19" s="149">
        <v>25</v>
      </c>
      <c r="D19" s="149">
        <v>20</v>
      </c>
      <c r="E19" s="149">
        <v>20</v>
      </c>
      <c r="F19" s="149">
        <v>0</v>
      </c>
      <c r="G19" s="149">
        <v>20</v>
      </c>
      <c r="H19" s="149">
        <v>5</v>
      </c>
      <c r="I19" s="149">
        <v>5</v>
      </c>
      <c r="J19" s="149">
        <v>0</v>
      </c>
      <c r="K19" s="149">
        <v>5</v>
      </c>
      <c r="L19" s="149">
        <v>0</v>
      </c>
    </row>
    <row r="20" spans="1:12" s="112" customFormat="1" ht="22.95" customHeight="1">
      <c r="A20" s="125">
        <v>17</v>
      </c>
      <c r="B20" s="186" t="s">
        <v>58</v>
      </c>
      <c r="C20" s="149">
        <v>24</v>
      </c>
      <c r="D20" s="149">
        <v>12</v>
      </c>
      <c r="E20" s="149">
        <v>12</v>
      </c>
      <c r="F20" s="149">
        <v>0</v>
      </c>
      <c r="G20" s="149">
        <v>12</v>
      </c>
      <c r="H20" s="149">
        <v>12</v>
      </c>
      <c r="I20" s="149">
        <v>12</v>
      </c>
      <c r="J20" s="149">
        <v>0</v>
      </c>
      <c r="K20" s="149">
        <v>12</v>
      </c>
      <c r="L20" s="149">
        <v>0</v>
      </c>
    </row>
    <row r="21" spans="1:12" s="112" customFormat="1" ht="22.95" customHeight="1">
      <c r="A21" s="125">
        <v>18</v>
      </c>
      <c r="B21" s="186" t="s">
        <v>62</v>
      </c>
      <c r="C21" s="149">
        <v>20</v>
      </c>
      <c r="D21" s="149">
        <v>7</v>
      </c>
      <c r="E21" s="149">
        <v>7</v>
      </c>
      <c r="F21" s="149">
        <v>0</v>
      </c>
      <c r="G21" s="149">
        <v>7</v>
      </c>
      <c r="H21" s="149">
        <v>13</v>
      </c>
      <c r="I21" s="149">
        <v>12</v>
      </c>
      <c r="J21" s="149">
        <v>1</v>
      </c>
      <c r="K21" s="149">
        <v>12</v>
      </c>
      <c r="L21" s="149">
        <v>0</v>
      </c>
    </row>
    <row r="22" spans="1:12" s="112" customFormat="1" ht="22.95" customHeight="1">
      <c r="A22" s="125">
        <v>19</v>
      </c>
      <c r="B22" s="186" t="s">
        <v>42</v>
      </c>
      <c r="C22" s="149">
        <v>19</v>
      </c>
      <c r="D22" s="149">
        <v>14</v>
      </c>
      <c r="E22" s="149">
        <v>14</v>
      </c>
      <c r="F22" s="149">
        <v>0</v>
      </c>
      <c r="G22" s="149">
        <v>14</v>
      </c>
      <c r="H22" s="149">
        <v>5</v>
      </c>
      <c r="I22" s="149">
        <v>4</v>
      </c>
      <c r="J22" s="149">
        <v>0</v>
      </c>
      <c r="K22" s="149">
        <v>5</v>
      </c>
      <c r="L22" s="149">
        <v>0</v>
      </c>
    </row>
    <row r="23" spans="1:12" s="112" customFormat="1" ht="22.95" customHeight="1">
      <c r="A23" s="125">
        <v>20</v>
      </c>
      <c r="B23" s="186" t="s">
        <v>55</v>
      </c>
      <c r="C23" s="149">
        <v>19</v>
      </c>
      <c r="D23" s="149">
        <v>10</v>
      </c>
      <c r="E23" s="149">
        <v>10</v>
      </c>
      <c r="F23" s="149">
        <v>0</v>
      </c>
      <c r="G23" s="149">
        <v>10</v>
      </c>
      <c r="H23" s="149">
        <v>9</v>
      </c>
      <c r="I23" s="149">
        <v>9</v>
      </c>
      <c r="J23" s="149">
        <v>0</v>
      </c>
      <c r="K23" s="149">
        <v>9</v>
      </c>
      <c r="L23" s="149">
        <v>0</v>
      </c>
    </row>
    <row r="24" spans="1:12" s="112" customFormat="1" ht="22.95" customHeight="1">
      <c r="A24" s="125">
        <v>21</v>
      </c>
      <c r="B24" s="186" t="s">
        <v>51</v>
      </c>
      <c r="C24" s="149">
        <v>19</v>
      </c>
      <c r="D24" s="149">
        <v>15</v>
      </c>
      <c r="E24" s="149">
        <v>12</v>
      </c>
      <c r="F24" s="149">
        <v>0</v>
      </c>
      <c r="G24" s="149">
        <v>15</v>
      </c>
      <c r="H24" s="149">
        <v>4</v>
      </c>
      <c r="I24" s="149">
        <v>2</v>
      </c>
      <c r="J24" s="149">
        <v>0</v>
      </c>
      <c r="K24" s="149">
        <v>4</v>
      </c>
      <c r="L24" s="149">
        <v>0</v>
      </c>
    </row>
    <row r="25" spans="1:12" s="112" customFormat="1" ht="22.95" customHeight="1">
      <c r="A25" s="125">
        <v>22</v>
      </c>
      <c r="B25" s="186" t="s">
        <v>70</v>
      </c>
      <c r="C25" s="149">
        <v>17</v>
      </c>
      <c r="D25" s="149">
        <v>9</v>
      </c>
      <c r="E25" s="149">
        <v>9</v>
      </c>
      <c r="F25" s="149">
        <v>0</v>
      </c>
      <c r="G25" s="149">
        <v>9</v>
      </c>
      <c r="H25" s="149">
        <v>8</v>
      </c>
      <c r="I25" s="149">
        <v>8</v>
      </c>
      <c r="J25" s="149">
        <v>0</v>
      </c>
      <c r="K25" s="149">
        <v>8</v>
      </c>
      <c r="L25" s="149">
        <v>0</v>
      </c>
    </row>
    <row r="26" spans="1:12" s="112" customFormat="1" ht="22.95" customHeight="1">
      <c r="A26" s="125">
        <v>23</v>
      </c>
      <c r="B26" s="186" t="s">
        <v>67</v>
      </c>
      <c r="C26" s="149">
        <v>17</v>
      </c>
      <c r="D26" s="149">
        <v>9</v>
      </c>
      <c r="E26" s="149">
        <v>9</v>
      </c>
      <c r="F26" s="149">
        <v>0</v>
      </c>
      <c r="G26" s="149">
        <v>9</v>
      </c>
      <c r="H26" s="149">
        <v>8</v>
      </c>
      <c r="I26" s="149">
        <v>8</v>
      </c>
      <c r="J26" s="149">
        <v>0</v>
      </c>
      <c r="K26" s="149">
        <v>8</v>
      </c>
      <c r="L26" s="149">
        <v>0</v>
      </c>
    </row>
    <row r="27" spans="1:12" s="112" customFormat="1" ht="22.95" customHeight="1">
      <c r="A27" s="125">
        <v>24</v>
      </c>
      <c r="B27" s="186" t="s">
        <v>52</v>
      </c>
      <c r="C27" s="149">
        <v>17</v>
      </c>
      <c r="D27" s="149">
        <v>7</v>
      </c>
      <c r="E27" s="149">
        <v>2</v>
      </c>
      <c r="F27" s="149">
        <v>0</v>
      </c>
      <c r="G27" s="149">
        <v>7</v>
      </c>
      <c r="H27" s="149">
        <v>10</v>
      </c>
      <c r="I27" s="149">
        <v>10</v>
      </c>
      <c r="J27" s="149">
        <v>0</v>
      </c>
      <c r="K27" s="149">
        <v>10</v>
      </c>
      <c r="L27" s="149">
        <v>0</v>
      </c>
    </row>
    <row r="28" spans="1:12" s="112" customFormat="1" ht="22.95" customHeight="1">
      <c r="A28" s="125">
        <v>25</v>
      </c>
      <c r="B28" s="186" t="s">
        <v>66</v>
      </c>
      <c r="C28" s="149">
        <v>15</v>
      </c>
      <c r="D28" s="149">
        <v>8</v>
      </c>
      <c r="E28" s="149">
        <v>8</v>
      </c>
      <c r="F28" s="149">
        <v>0</v>
      </c>
      <c r="G28" s="149">
        <v>8</v>
      </c>
      <c r="H28" s="149">
        <v>7</v>
      </c>
      <c r="I28" s="149">
        <v>5</v>
      </c>
      <c r="J28" s="149">
        <v>0</v>
      </c>
      <c r="K28" s="149">
        <v>7</v>
      </c>
      <c r="L28" s="149">
        <v>0</v>
      </c>
    </row>
    <row r="29" spans="1:12" s="112" customFormat="1" ht="22.95" customHeight="1">
      <c r="A29" s="125">
        <v>26</v>
      </c>
      <c r="B29" s="186" t="s">
        <v>45</v>
      </c>
      <c r="C29" s="149">
        <v>13</v>
      </c>
      <c r="D29" s="149">
        <v>6</v>
      </c>
      <c r="E29" s="149">
        <v>4</v>
      </c>
      <c r="F29" s="149">
        <v>0</v>
      </c>
      <c r="G29" s="149">
        <v>6</v>
      </c>
      <c r="H29" s="149">
        <v>7</v>
      </c>
      <c r="I29" s="149">
        <v>7</v>
      </c>
      <c r="J29" s="149">
        <v>0</v>
      </c>
      <c r="K29" s="149">
        <v>7</v>
      </c>
      <c r="L29" s="149">
        <v>0</v>
      </c>
    </row>
    <row r="30" spans="1:12" s="112" customFormat="1" ht="22.95" customHeight="1">
      <c r="A30" s="125">
        <v>27</v>
      </c>
      <c r="B30" s="186" t="s">
        <v>46</v>
      </c>
      <c r="C30" s="149">
        <v>11</v>
      </c>
      <c r="D30" s="149">
        <v>4</v>
      </c>
      <c r="E30" s="149">
        <v>4</v>
      </c>
      <c r="F30" s="149">
        <v>0</v>
      </c>
      <c r="G30" s="149">
        <v>4</v>
      </c>
      <c r="H30" s="149">
        <v>7</v>
      </c>
      <c r="I30" s="149">
        <v>7</v>
      </c>
      <c r="J30" s="149">
        <v>0</v>
      </c>
      <c r="K30" s="149">
        <v>7</v>
      </c>
      <c r="L30" s="149">
        <v>0</v>
      </c>
    </row>
    <row r="31" spans="1:12" s="112" customFormat="1" ht="22.95" customHeight="1">
      <c r="A31" s="125">
        <v>28</v>
      </c>
      <c r="B31" s="186" t="s">
        <v>72</v>
      </c>
      <c r="C31" s="149">
        <v>10</v>
      </c>
      <c r="D31" s="149">
        <v>8</v>
      </c>
      <c r="E31" s="149">
        <v>8</v>
      </c>
      <c r="F31" s="149">
        <v>0</v>
      </c>
      <c r="G31" s="149">
        <v>8</v>
      </c>
      <c r="H31" s="149">
        <v>2</v>
      </c>
      <c r="I31" s="149">
        <v>2</v>
      </c>
      <c r="J31" s="149">
        <v>0</v>
      </c>
      <c r="K31" s="149">
        <v>2</v>
      </c>
      <c r="L31" s="149">
        <v>0</v>
      </c>
    </row>
    <row r="32" spans="1:12" s="112" customFormat="1" ht="22.95" customHeight="1">
      <c r="A32" s="125">
        <v>29</v>
      </c>
      <c r="B32" s="186" t="s">
        <v>48</v>
      </c>
      <c r="C32" s="149">
        <v>10</v>
      </c>
      <c r="D32" s="149">
        <v>3</v>
      </c>
      <c r="E32" s="149">
        <v>3</v>
      </c>
      <c r="F32" s="149">
        <v>0</v>
      </c>
      <c r="G32" s="149">
        <v>3</v>
      </c>
      <c r="H32" s="149">
        <v>7</v>
      </c>
      <c r="I32" s="149">
        <v>7</v>
      </c>
      <c r="J32" s="149">
        <v>1</v>
      </c>
      <c r="K32" s="149">
        <v>6</v>
      </c>
      <c r="L32" s="149">
        <v>0</v>
      </c>
    </row>
    <row r="33" spans="1:12" s="112" customFormat="1" ht="22.95" customHeight="1">
      <c r="A33" s="125">
        <v>30</v>
      </c>
      <c r="B33" s="186" t="s">
        <v>73</v>
      </c>
      <c r="C33" s="149">
        <v>9</v>
      </c>
      <c r="D33" s="149">
        <v>4</v>
      </c>
      <c r="E33" s="149">
        <v>4</v>
      </c>
      <c r="F33" s="149">
        <v>0</v>
      </c>
      <c r="G33" s="149">
        <v>4</v>
      </c>
      <c r="H33" s="149">
        <v>5</v>
      </c>
      <c r="I33" s="149">
        <v>4</v>
      </c>
      <c r="J33" s="149">
        <v>0</v>
      </c>
      <c r="K33" s="149">
        <v>5</v>
      </c>
      <c r="L33" s="149">
        <v>0</v>
      </c>
    </row>
    <row r="34" spans="1:12" s="112" customFormat="1" ht="22.95" customHeight="1">
      <c r="A34" s="125">
        <v>31</v>
      </c>
      <c r="B34" s="186" t="s">
        <v>65</v>
      </c>
      <c r="C34" s="149">
        <v>8</v>
      </c>
      <c r="D34" s="149">
        <v>4</v>
      </c>
      <c r="E34" s="149">
        <v>4</v>
      </c>
      <c r="F34" s="149">
        <v>0</v>
      </c>
      <c r="G34" s="149">
        <v>4</v>
      </c>
      <c r="H34" s="149">
        <v>4</v>
      </c>
      <c r="I34" s="149">
        <v>4</v>
      </c>
      <c r="J34" s="149">
        <v>0</v>
      </c>
      <c r="K34" s="149">
        <v>4</v>
      </c>
      <c r="L34" s="149">
        <v>0</v>
      </c>
    </row>
    <row r="35" spans="1:12" s="112" customFormat="1" ht="22.95" customHeight="1">
      <c r="A35" s="125">
        <v>32</v>
      </c>
      <c r="B35" s="186" t="s">
        <v>61</v>
      </c>
      <c r="C35" s="149">
        <v>8</v>
      </c>
      <c r="D35" s="149">
        <v>6</v>
      </c>
      <c r="E35" s="149">
        <v>2</v>
      </c>
      <c r="F35" s="149">
        <v>0</v>
      </c>
      <c r="G35" s="149">
        <v>6</v>
      </c>
      <c r="H35" s="149">
        <v>2</v>
      </c>
      <c r="I35" s="149">
        <v>0</v>
      </c>
      <c r="J35" s="149">
        <v>0</v>
      </c>
      <c r="K35" s="149">
        <v>2</v>
      </c>
      <c r="L35" s="149">
        <v>0</v>
      </c>
    </row>
    <row r="36" spans="1:12" s="112" customFormat="1" ht="22.95" customHeight="1">
      <c r="A36" s="125">
        <v>33</v>
      </c>
      <c r="B36" s="186" t="s">
        <v>41</v>
      </c>
      <c r="C36" s="149">
        <v>0</v>
      </c>
      <c r="D36" s="149">
        <v>0</v>
      </c>
      <c r="E36" s="149">
        <v>0</v>
      </c>
      <c r="F36" s="149">
        <v>0</v>
      </c>
      <c r="G36" s="149">
        <v>0</v>
      </c>
      <c r="H36" s="149">
        <v>0</v>
      </c>
      <c r="I36" s="149">
        <v>0</v>
      </c>
      <c r="J36" s="149">
        <v>0</v>
      </c>
      <c r="K36" s="149">
        <v>0</v>
      </c>
      <c r="L36" s="149">
        <v>0</v>
      </c>
    </row>
    <row r="37" spans="1:12" s="112" customFormat="1" ht="22.95" customHeight="1">
      <c r="A37" s="125">
        <v>34</v>
      </c>
      <c r="B37" s="186" t="s">
        <v>74</v>
      </c>
      <c r="C37" s="149">
        <v>0</v>
      </c>
      <c r="D37" s="149">
        <v>0</v>
      </c>
      <c r="E37" s="149">
        <v>0</v>
      </c>
      <c r="F37" s="149">
        <v>0</v>
      </c>
      <c r="G37" s="149">
        <v>0</v>
      </c>
      <c r="H37" s="149">
        <v>0</v>
      </c>
      <c r="I37" s="149">
        <v>0</v>
      </c>
      <c r="J37" s="149">
        <v>0</v>
      </c>
      <c r="K37" s="149">
        <v>0</v>
      </c>
      <c r="L37" s="149">
        <v>0</v>
      </c>
    </row>
    <row r="38" spans="1:12" s="112" customFormat="1" ht="22.95" customHeight="1">
      <c r="A38" s="189" t="s">
        <v>75</v>
      </c>
      <c r="B38" s="189"/>
      <c r="C38" s="190">
        <f>SUM(C4:C37)</f>
        <v>894</v>
      </c>
      <c r="D38" s="190">
        <f t="shared" ref="D38:L38" si="0">SUM(D4:D37)</f>
        <v>593</v>
      </c>
      <c r="E38" s="190">
        <f t="shared" si="0"/>
        <v>570</v>
      </c>
      <c r="F38" s="190">
        <f t="shared" si="0"/>
        <v>3</v>
      </c>
      <c r="G38" s="190">
        <f t="shared" si="0"/>
        <v>590</v>
      </c>
      <c r="H38" s="190">
        <f t="shared" si="0"/>
        <v>301</v>
      </c>
      <c r="I38" s="190">
        <f t="shared" si="0"/>
        <v>287</v>
      </c>
      <c r="J38" s="190">
        <f t="shared" si="0"/>
        <v>6</v>
      </c>
      <c r="K38" s="190">
        <f t="shared" si="0"/>
        <v>295</v>
      </c>
      <c r="L38" s="190">
        <f t="shared" si="0"/>
        <v>0</v>
      </c>
    </row>
  </sheetData>
  <mergeCells count="7">
    <mergeCell ref="A38:B38"/>
    <mergeCell ref="A1:L1"/>
    <mergeCell ref="A2:A3"/>
    <mergeCell ref="B2:B3"/>
    <mergeCell ref="C2:C3"/>
    <mergeCell ref="D2:G2"/>
    <mergeCell ref="H2:L2"/>
  </mergeCells>
  <printOptions horizontalCentered="1"/>
  <pageMargins left="0.70866141732283472" right="0.70866141732283472" top="0.74803149606299213" bottom="0.74803149606299213" header="0.31496062992125984" footer="0.31496062992125984"/>
  <pageSetup paperSize="5" scale="98" fitToHeight="0" orientation="landscape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CDB4F-CFE8-4D19-9671-92FF723D4320}">
  <sheetPr codeName="Sheet6">
    <tabColor theme="8" tint="-0.249977111117893"/>
  </sheetPr>
  <dimension ref="A1:F39"/>
  <sheetViews>
    <sheetView view="pageLayout" zoomScaleNormal="100" workbookViewId="0">
      <selection activeCell="K31" sqref="K31"/>
    </sheetView>
  </sheetViews>
  <sheetFormatPr defaultRowHeight="14.4"/>
  <cols>
    <col min="1" max="1" width="5" bestFit="1" customWidth="1"/>
    <col min="2" max="2" width="26.5546875" bestFit="1" customWidth="1"/>
    <col min="3" max="3" width="10.33203125" bestFit="1" customWidth="1"/>
    <col min="4" max="4" width="15.88671875" customWidth="1"/>
    <col min="5" max="5" width="13.33203125" bestFit="1" customWidth="1"/>
    <col min="6" max="6" width="16.6640625" customWidth="1"/>
  </cols>
  <sheetData>
    <row r="1" spans="1:6" ht="18">
      <c r="A1" s="191" t="s">
        <v>262</v>
      </c>
      <c r="B1" s="191"/>
      <c r="C1" s="191"/>
      <c r="D1" s="191"/>
      <c r="E1" s="191"/>
      <c r="F1" s="191"/>
    </row>
    <row r="2" spans="1:6" ht="41.4">
      <c r="A2" s="192" t="s">
        <v>86</v>
      </c>
      <c r="B2" s="192" t="s">
        <v>87</v>
      </c>
      <c r="C2" s="193" t="s">
        <v>263</v>
      </c>
      <c r="D2" s="193" t="s">
        <v>264</v>
      </c>
      <c r="E2" s="193" t="s">
        <v>265</v>
      </c>
      <c r="F2" s="193" t="s">
        <v>266</v>
      </c>
    </row>
    <row r="3" spans="1:6" ht="22.05" customHeight="1">
      <c r="A3" s="194">
        <v>1</v>
      </c>
      <c r="B3" s="195" t="s">
        <v>64</v>
      </c>
      <c r="C3" s="196">
        <v>4</v>
      </c>
      <c r="D3" s="196">
        <v>3</v>
      </c>
      <c r="E3" s="196">
        <v>1</v>
      </c>
      <c r="F3" s="197">
        <f>IFERROR(100-(D3-E3)*100/(D3),0)</f>
        <v>33.333333333333329</v>
      </c>
    </row>
    <row r="4" spans="1:6" ht="22.05" customHeight="1">
      <c r="A4" s="194">
        <v>2</v>
      </c>
      <c r="B4" s="195" t="s">
        <v>69</v>
      </c>
      <c r="C4" s="196">
        <v>6</v>
      </c>
      <c r="D4" s="196">
        <v>5</v>
      </c>
      <c r="E4" s="196">
        <v>1</v>
      </c>
      <c r="F4" s="196">
        <f>IFERROR(100-(D4-E4)*100/(D4),0)</f>
        <v>20</v>
      </c>
    </row>
    <row r="5" spans="1:6" ht="22.05" customHeight="1">
      <c r="A5" s="198">
        <v>3</v>
      </c>
      <c r="B5" s="199" t="s">
        <v>74</v>
      </c>
      <c r="C5" s="176">
        <v>1</v>
      </c>
      <c r="D5" s="176">
        <v>1</v>
      </c>
      <c r="E5" s="176">
        <v>0</v>
      </c>
      <c r="F5" s="176">
        <f>IFERROR(100-(D5-E5)*100/(D5),0)</f>
        <v>0</v>
      </c>
    </row>
    <row r="6" spans="1:6" ht="22.05" customHeight="1">
      <c r="A6" s="198">
        <v>4</v>
      </c>
      <c r="B6" s="199" t="s">
        <v>41</v>
      </c>
      <c r="C6" s="176">
        <v>0</v>
      </c>
      <c r="D6" s="176">
        <v>0</v>
      </c>
      <c r="E6" s="176">
        <v>0</v>
      </c>
      <c r="F6" s="176">
        <f>IFERROR(100-(D6-E6)*100/(D6),0)</f>
        <v>0</v>
      </c>
    </row>
    <row r="7" spans="1:6" ht="22.05" customHeight="1">
      <c r="A7" s="198">
        <v>5</v>
      </c>
      <c r="B7" s="199" t="s">
        <v>60</v>
      </c>
      <c r="C7" s="176">
        <v>4</v>
      </c>
      <c r="D7" s="176">
        <v>4</v>
      </c>
      <c r="E7" s="176">
        <v>0</v>
      </c>
      <c r="F7" s="176">
        <f>IFERROR(100-(D7-E7)*100/(D7),0)</f>
        <v>0</v>
      </c>
    </row>
    <row r="8" spans="1:6" ht="22.05" customHeight="1">
      <c r="A8" s="198">
        <v>6</v>
      </c>
      <c r="B8" s="199" t="s">
        <v>51</v>
      </c>
      <c r="C8" s="176">
        <v>3</v>
      </c>
      <c r="D8" s="176">
        <v>3</v>
      </c>
      <c r="E8" s="176">
        <v>0</v>
      </c>
      <c r="F8" s="176">
        <f>IFERROR(100-(D8-E8)*100/(D8),0)</f>
        <v>0</v>
      </c>
    </row>
    <row r="9" spans="1:6" ht="22.05" customHeight="1">
      <c r="A9" s="198">
        <v>7</v>
      </c>
      <c r="B9" s="199" t="s">
        <v>58</v>
      </c>
      <c r="C9" s="176">
        <v>3</v>
      </c>
      <c r="D9" s="176">
        <v>3</v>
      </c>
      <c r="E9" s="176">
        <v>0</v>
      </c>
      <c r="F9" s="176">
        <f>IFERROR(100-(D9-E9)*100/(D9),0)</f>
        <v>0</v>
      </c>
    </row>
    <row r="10" spans="1:6" ht="22.05" customHeight="1">
      <c r="A10" s="198">
        <v>8</v>
      </c>
      <c r="B10" s="199" t="s">
        <v>49</v>
      </c>
      <c r="C10" s="176">
        <v>4</v>
      </c>
      <c r="D10" s="176">
        <v>4</v>
      </c>
      <c r="E10" s="176">
        <v>0</v>
      </c>
      <c r="F10" s="176">
        <f>IFERROR(100-(D10-E10)*100/(D10),0)</f>
        <v>0</v>
      </c>
    </row>
    <row r="11" spans="1:6" ht="22.05" customHeight="1">
      <c r="A11" s="198">
        <v>9</v>
      </c>
      <c r="B11" s="199" t="s">
        <v>67</v>
      </c>
      <c r="C11" s="176">
        <v>3</v>
      </c>
      <c r="D11" s="176">
        <v>3</v>
      </c>
      <c r="E11" s="176">
        <v>0</v>
      </c>
      <c r="F11" s="176">
        <f>IFERROR(100-(D11-E11)*100/(D11),0)</f>
        <v>0</v>
      </c>
    </row>
    <row r="12" spans="1:6" ht="22.05" customHeight="1">
      <c r="A12" s="198">
        <v>10</v>
      </c>
      <c r="B12" s="199" t="s">
        <v>73</v>
      </c>
      <c r="C12" s="176">
        <v>3</v>
      </c>
      <c r="D12" s="176">
        <v>3</v>
      </c>
      <c r="E12" s="176">
        <v>0</v>
      </c>
      <c r="F12" s="176">
        <f>IFERROR(100-(D12-E12)*100/(D12),0)</f>
        <v>0</v>
      </c>
    </row>
    <row r="13" spans="1:6" ht="22.05" customHeight="1">
      <c r="A13" s="198">
        <v>11</v>
      </c>
      <c r="B13" s="199" t="s">
        <v>56</v>
      </c>
      <c r="C13" s="176">
        <v>2</v>
      </c>
      <c r="D13" s="176">
        <v>2</v>
      </c>
      <c r="E13" s="176">
        <v>0</v>
      </c>
      <c r="F13" s="176">
        <f>IFERROR(100-(D13-E13)*100/(D13),0)</f>
        <v>0</v>
      </c>
    </row>
    <row r="14" spans="1:6" ht="22.05" customHeight="1">
      <c r="A14" s="198">
        <v>12</v>
      </c>
      <c r="B14" s="199" t="s">
        <v>63</v>
      </c>
      <c r="C14" s="176">
        <v>3</v>
      </c>
      <c r="D14" s="176">
        <v>3</v>
      </c>
      <c r="E14" s="176">
        <v>0</v>
      </c>
      <c r="F14" s="176">
        <f>IFERROR(100-(D14-E14)*100/(D14),0)</f>
        <v>0</v>
      </c>
    </row>
    <row r="15" spans="1:6" ht="22.05" customHeight="1">
      <c r="A15" s="198">
        <v>13</v>
      </c>
      <c r="B15" s="199" t="s">
        <v>70</v>
      </c>
      <c r="C15" s="176">
        <v>4</v>
      </c>
      <c r="D15" s="176">
        <v>4</v>
      </c>
      <c r="E15" s="176">
        <v>0</v>
      </c>
      <c r="F15" s="176">
        <f>IFERROR(100-(D15-E15)*100/(D15),0)</f>
        <v>0</v>
      </c>
    </row>
    <row r="16" spans="1:6" ht="22.05" customHeight="1">
      <c r="A16" s="198">
        <v>14</v>
      </c>
      <c r="B16" s="199" t="s">
        <v>53</v>
      </c>
      <c r="C16" s="176">
        <v>2</v>
      </c>
      <c r="D16" s="176">
        <v>2</v>
      </c>
      <c r="E16" s="176">
        <v>0</v>
      </c>
      <c r="F16" s="176">
        <f>IFERROR(100-(D16-E16)*100/(D16),0)</f>
        <v>0</v>
      </c>
    </row>
    <row r="17" spans="1:6" ht="22.05" customHeight="1">
      <c r="A17" s="198">
        <v>15</v>
      </c>
      <c r="B17" s="199" t="s">
        <v>52</v>
      </c>
      <c r="C17" s="176">
        <v>3</v>
      </c>
      <c r="D17" s="176">
        <v>3</v>
      </c>
      <c r="E17" s="176">
        <v>0</v>
      </c>
      <c r="F17" s="176">
        <f>IFERROR(100-(D17-E17)*100/(D17),0)</f>
        <v>0</v>
      </c>
    </row>
    <row r="18" spans="1:6" ht="22.05" customHeight="1">
      <c r="A18" s="198">
        <v>16</v>
      </c>
      <c r="B18" s="199" t="s">
        <v>45</v>
      </c>
      <c r="C18" s="176">
        <v>3</v>
      </c>
      <c r="D18" s="176">
        <v>3</v>
      </c>
      <c r="E18" s="176">
        <v>0</v>
      </c>
      <c r="F18" s="176">
        <f>IFERROR(100-(D18-E18)*100/(D18),0)</f>
        <v>0</v>
      </c>
    </row>
    <row r="19" spans="1:6" ht="22.05" customHeight="1">
      <c r="A19" s="198">
        <v>17</v>
      </c>
      <c r="B19" s="199" t="s">
        <v>54</v>
      </c>
      <c r="C19" s="176">
        <v>4</v>
      </c>
      <c r="D19" s="176">
        <v>4</v>
      </c>
      <c r="E19" s="176">
        <v>0</v>
      </c>
      <c r="F19" s="176">
        <f>IFERROR(100-(D19-E19)*100/(D19),0)</f>
        <v>0</v>
      </c>
    </row>
    <row r="20" spans="1:6" ht="22.05" customHeight="1">
      <c r="A20" s="198">
        <v>18</v>
      </c>
      <c r="B20" s="199" t="s">
        <v>71</v>
      </c>
      <c r="C20" s="176">
        <v>4</v>
      </c>
      <c r="D20" s="176">
        <v>4</v>
      </c>
      <c r="E20" s="176">
        <v>0</v>
      </c>
      <c r="F20" s="176">
        <f>IFERROR(100-(D20-E20)*100/(D20),0)</f>
        <v>0</v>
      </c>
    </row>
    <row r="21" spans="1:6" ht="22.05" customHeight="1">
      <c r="A21" s="198">
        <v>19</v>
      </c>
      <c r="B21" s="199" t="s">
        <v>66</v>
      </c>
      <c r="C21" s="176">
        <v>6</v>
      </c>
      <c r="D21" s="176">
        <v>6</v>
      </c>
      <c r="E21" s="176">
        <v>0</v>
      </c>
      <c r="F21" s="176">
        <f>IFERROR(100-(D21-E21)*100/(D21),0)</f>
        <v>0</v>
      </c>
    </row>
    <row r="22" spans="1:6" ht="22.05" customHeight="1">
      <c r="A22" s="198">
        <v>20</v>
      </c>
      <c r="B22" s="199" t="s">
        <v>42</v>
      </c>
      <c r="C22" s="176">
        <v>3</v>
      </c>
      <c r="D22" s="176">
        <v>3</v>
      </c>
      <c r="E22" s="176">
        <v>0</v>
      </c>
      <c r="F22" s="176">
        <f>IFERROR(100-(D22-E22)*100/(D22),0)</f>
        <v>0</v>
      </c>
    </row>
    <row r="23" spans="1:6" ht="22.05" customHeight="1">
      <c r="A23" s="198">
        <v>21</v>
      </c>
      <c r="B23" s="199" t="s">
        <v>65</v>
      </c>
      <c r="C23" s="176">
        <v>3</v>
      </c>
      <c r="D23" s="176">
        <v>3</v>
      </c>
      <c r="E23" s="176">
        <v>0</v>
      </c>
      <c r="F23" s="176">
        <f>IFERROR(100-(D23-E23)*100/(D23),0)</f>
        <v>0</v>
      </c>
    </row>
    <row r="24" spans="1:6" ht="22.05" customHeight="1">
      <c r="A24" s="198">
        <v>22</v>
      </c>
      <c r="B24" s="199" t="s">
        <v>43</v>
      </c>
      <c r="C24" s="176">
        <v>4</v>
      </c>
      <c r="D24" s="176">
        <v>4</v>
      </c>
      <c r="E24" s="176">
        <v>0</v>
      </c>
      <c r="F24" s="176">
        <f>IFERROR(100-(D24-E24)*100/(D24),0)</f>
        <v>0</v>
      </c>
    </row>
    <row r="25" spans="1:6" ht="22.05" customHeight="1">
      <c r="A25" s="198">
        <v>23</v>
      </c>
      <c r="B25" s="199" t="s">
        <v>55</v>
      </c>
      <c r="C25" s="176">
        <v>2</v>
      </c>
      <c r="D25" s="176">
        <v>2</v>
      </c>
      <c r="E25" s="176">
        <v>0</v>
      </c>
      <c r="F25" s="176">
        <f>IFERROR(100-(D25-E25)*100/(D25),0)</f>
        <v>0</v>
      </c>
    </row>
    <row r="26" spans="1:6" ht="22.05" customHeight="1">
      <c r="A26" s="198">
        <v>24</v>
      </c>
      <c r="B26" s="199" t="s">
        <v>59</v>
      </c>
      <c r="C26" s="176">
        <v>4</v>
      </c>
      <c r="D26" s="176">
        <v>4</v>
      </c>
      <c r="E26" s="176">
        <v>0</v>
      </c>
      <c r="F26" s="176">
        <f>IFERROR(100-(D26-E26)*100/(D26),0)</f>
        <v>0</v>
      </c>
    </row>
    <row r="27" spans="1:6" ht="22.05" customHeight="1">
      <c r="A27" s="198">
        <v>25</v>
      </c>
      <c r="B27" s="199" t="s">
        <v>62</v>
      </c>
      <c r="C27" s="176">
        <v>5</v>
      </c>
      <c r="D27" s="176">
        <v>5</v>
      </c>
      <c r="E27" s="176">
        <v>0</v>
      </c>
      <c r="F27" s="176">
        <f>IFERROR(100-(D27-E27)*100/(D27),0)</f>
        <v>0</v>
      </c>
    </row>
    <row r="28" spans="1:6" ht="22.05" customHeight="1">
      <c r="A28" s="198">
        <v>26</v>
      </c>
      <c r="B28" s="199" t="s">
        <v>57</v>
      </c>
      <c r="C28" s="176">
        <v>4</v>
      </c>
      <c r="D28" s="176">
        <v>4</v>
      </c>
      <c r="E28" s="176">
        <v>0</v>
      </c>
      <c r="F28" s="176">
        <f>IFERROR(100-(D28-E28)*100/(D28),0)</f>
        <v>0</v>
      </c>
    </row>
    <row r="29" spans="1:6" ht="22.05" customHeight="1">
      <c r="A29" s="198">
        <v>27</v>
      </c>
      <c r="B29" s="199" t="s">
        <v>50</v>
      </c>
      <c r="C29" s="176">
        <v>3</v>
      </c>
      <c r="D29" s="176">
        <v>3</v>
      </c>
      <c r="E29" s="176">
        <v>0</v>
      </c>
      <c r="F29" s="176">
        <f>IFERROR(100-(D29-E29)*100/(D29),0)</f>
        <v>0</v>
      </c>
    </row>
    <row r="30" spans="1:6" ht="22.05" customHeight="1">
      <c r="A30" s="198">
        <v>28</v>
      </c>
      <c r="B30" s="199" t="s">
        <v>44</v>
      </c>
      <c r="C30" s="176">
        <v>3</v>
      </c>
      <c r="D30" s="176">
        <v>3</v>
      </c>
      <c r="E30" s="176">
        <v>0</v>
      </c>
      <c r="F30" s="176">
        <f>IFERROR(100-(D30-E30)*100/(D30),0)</f>
        <v>0</v>
      </c>
    </row>
    <row r="31" spans="1:6" ht="22.05" customHeight="1">
      <c r="A31" s="198">
        <v>29</v>
      </c>
      <c r="B31" s="199" t="s">
        <v>47</v>
      </c>
      <c r="C31" s="176">
        <v>4</v>
      </c>
      <c r="D31" s="176">
        <v>4</v>
      </c>
      <c r="E31" s="176">
        <v>0</v>
      </c>
      <c r="F31" s="176">
        <f>IFERROR(100-(D31-E31)*100/(D31),0)</f>
        <v>0</v>
      </c>
    </row>
    <row r="32" spans="1:6" ht="22.05" customHeight="1">
      <c r="A32" s="198">
        <v>30</v>
      </c>
      <c r="B32" s="199" t="s">
        <v>46</v>
      </c>
      <c r="C32" s="176">
        <v>3</v>
      </c>
      <c r="D32" s="176">
        <v>3</v>
      </c>
      <c r="E32" s="176">
        <v>0</v>
      </c>
      <c r="F32" s="176">
        <f>IFERROR(100-(D32-E32)*100/(D32),0)</f>
        <v>0</v>
      </c>
    </row>
    <row r="33" spans="1:6" ht="22.05" customHeight="1">
      <c r="A33" s="198">
        <v>31</v>
      </c>
      <c r="B33" s="199" t="s">
        <v>48</v>
      </c>
      <c r="C33" s="176">
        <v>3</v>
      </c>
      <c r="D33" s="176">
        <v>3</v>
      </c>
      <c r="E33" s="176">
        <v>0</v>
      </c>
      <c r="F33" s="176">
        <f>IFERROR(100-(D33-E33)*100/(D33),0)</f>
        <v>0</v>
      </c>
    </row>
    <row r="34" spans="1:6" ht="22.05" customHeight="1">
      <c r="A34" s="198">
        <v>32</v>
      </c>
      <c r="B34" s="199" t="s">
        <v>61</v>
      </c>
      <c r="C34" s="176">
        <v>3</v>
      </c>
      <c r="D34" s="176">
        <v>3</v>
      </c>
      <c r="E34" s="176">
        <v>0</v>
      </c>
      <c r="F34" s="176">
        <f>IFERROR(100-(D34-E34)*100/(D34),0)</f>
        <v>0</v>
      </c>
    </row>
    <row r="35" spans="1:6" ht="22.05" customHeight="1">
      <c r="A35" s="198">
        <v>33</v>
      </c>
      <c r="B35" s="199" t="s">
        <v>72</v>
      </c>
      <c r="C35" s="176">
        <v>3</v>
      </c>
      <c r="D35" s="176">
        <v>3</v>
      </c>
      <c r="E35" s="176">
        <v>0</v>
      </c>
      <c r="F35" s="176">
        <f>IFERROR(100-(D35-E35)*100/(D35),0)</f>
        <v>0</v>
      </c>
    </row>
    <row r="36" spans="1:6" ht="22.05" customHeight="1">
      <c r="A36" s="198">
        <v>34</v>
      </c>
      <c r="B36" s="199" t="s">
        <v>68</v>
      </c>
      <c r="C36" s="176">
        <v>3</v>
      </c>
      <c r="D36" s="176">
        <v>3</v>
      </c>
      <c r="E36" s="176">
        <v>0</v>
      </c>
      <c r="F36" s="176">
        <f>IFERROR(100-(D36-E36)*100/(D36),0)</f>
        <v>0</v>
      </c>
    </row>
    <row r="37" spans="1:6" ht="22.05" customHeight="1">
      <c r="A37" s="200" t="s">
        <v>267</v>
      </c>
      <c r="B37" s="200"/>
      <c r="C37" s="201">
        <f>SUM(C3:C36)</f>
        <v>112</v>
      </c>
      <c r="D37" s="201">
        <f>SUM(D3:D36)</f>
        <v>110</v>
      </c>
      <c r="E37" s="201">
        <v>2</v>
      </c>
      <c r="F37" s="202">
        <f>IFERROR(100-(D37-E37)*100/(D37),0)</f>
        <v>1.818181818181813</v>
      </c>
    </row>
    <row r="38" spans="1:6" ht="25.05" customHeight="1"/>
    <row r="39" spans="1:6" ht="25.05" customHeight="1"/>
  </sheetData>
  <mergeCells count="2">
    <mergeCell ref="A1:F1"/>
    <mergeCell ref="A37:B37"/>
  </mergeCells>
  <printOptions horizontalCentered="1"/>
  <pageMargins left="0.70866141732283472" right="0.70866141732283472" top="0.74803149606299213" bottom="0.74803149606299213" header="0.31496062992125984" footer="0.31496062992125984"/>
  <pageSetup paperSize="5" orientation="portrait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1D4F5-8A0D-4428-9311-50AB2081A2C3}">
  <sheetPr codeName="Sheet49">
    <tabColor theme="7" tint="0.39997558519241921"/>
  </sheetPr>
  <dimension ref="A1:F37"/>
  <sheetViews>
    <sheetView topLeftCell="A7" workbookViewId="0">
      <selection activeCell="M15" sqref="M15"/>
    </sheetView>
  </sheetViews>
  <sheetFormatPr defaultRowHeight="14.4"/>
  <cols>
    <col min="1" max="1" width="5" bestFit="1" customWidth="1"/>
    <col min="2" max="2" width="29.33203125" customWidth="1"/>
    <col min="3" max="3" width="12.109375" customWidth="1"/>
    <col min="4" max="4" width="13.109375" customWidth="1"/>
    <col min="5" max="5" width="12.21875" customWidth="1"/>
    <col min="6" max="6" width="15.109375" customWidth="1"/>
  </cols>
  <sheetData>
    <row r="1" spans="1:6" ht="15.6">
      <c r="A1" s="167" t="s">
        <v>268</v>
      </c>
      <c r="B1" s="167"/>
      <c r="C1" s="167"/>
      <c r="D1" s="167"/>
      <c r="E1" s="167"/>
      <c r="F1" s="167"/>
    </row>
    <row r="2" spans="1:6" ht="55.8" customHeight="1">
      <c r="A2" s="192" t="s">
        <v>86</v>
      </c>
      <c r="B2" s="192" t="s">
        <v>87</v>
      </c>
      <c r="C2" s="193" t="s">
        <v>269</v>
      </c>
      <c r="D2" s="193" t="s">
        <v>270</v>
      </c>
      <c r="E2" s="193" t="s">
        <v>271</v>
      </c>
      <c r="F2" s="193" t="s">
        <v>272</v>
      </c>
    </row>
    <row r="3" spans="1:6" ht="19.95" customHeight="1">
      <c r="A3" s="131">
        <v>1</v>
      </c>
      <c r="B3" s="203" t="s">
        <v>74</v>
      </c>
      <c r="C3" s="204">
        <v>0</v>
      </c>
      <c r="D3" s="204">
        <v>0</v>
      </c>
      <c r="E3" s="204">
        <v>0</v>
      </c>
      <c r="F3" s="205">
        <v>0</v>
      </c>
    </row>
    <row r="4" spans="1:6" ht="19.95" customHeight="1">
      <c r="A4" s="131">
        <v>2</v>
      </c>
      <c r="B4" s="203" t="s">
        <v>41</v>
      </c>
      <c r="C4" s="204">
        <v>0</v>
      </c>
      <c r="D4" s="204">
        <v>0</v>
      </c>
      <c r="E4" s="204">
        <v>0</v>
      </c>
      <c r="F4" s="205">
        <v>0</v>
      </c>
    </row>
    <row r="5" spans="1:6" ht="19.95" customHeight="1">
      <c r="A5" s="131">
        <v>3</v>
      </c>
      <c r="B5" s="203" t="s">
        <v>61</v>
      </c>
      <c r="C5" s="204">
        <v>0</v>
      </c>
      <c r="D5" s="204">
        <v>0</v>
      </c>
      <c r="E5" s="204">
        <v>0</v>
      </c>
      <c r="F5" s="205">
        <v>0</v>
      </c>
    </row>
    <row r="6" spans="1:6" ht="19.95" customHeight="1">
      <c r="A6" s="125">
        <v>4</v>
      </c>
      <c r="B6" s="126" t="s">
        <v>55</v>
      </c>
      <c r="C6" s="176">
        <v>2</v>
      </c>
      <c r="D6" s="176">
        <v>2</v>
      </c>
      <c r="E6" s="176">
        <v>0</v>
      </c>
      <c r="F6" s="206">
        <v>1.9328703703703704E-3</v>
      </c>
    </row>
    <row r="7" spans="1:6" ht="19.95" customHeight="1">
      <c r="A7" s="125">
        <v>5</v>
      </c>
      <c r="B7" s="126" t="s">
        <v>46</v>
      </c>
      <c r="C7" s="176">
        <v>7</v>
      </c>
      <c r="D7" s="176">
        <v>7</v>
      </c>
      <c r="E7" s="176">
        <v>0</v>
      </c>
      <c r="F7" s="206">
        <v>2.8703703703703708E-3</v>
      </c>
    </row>
    <row r="8" spans="1:6" ht="19.95" customHeight="1">
      <c r="A8" s="125">
        <v>6</v>
      </c>
      <c r="B8" s="126" t="s">
        <v>68</v>
      </c>
      <c r="C8" s="176">
        <v>9</v>
      </c>
      <c r="D8" s="176">
        <v>9</v>
      </c>
      <c r="E8" s="176">
        <v>0</v>
      </c>
      <c r="F8" s="206">
        <v>3.6689814814814814E-3</v>
      </c>
    </row>
    <row r="9" spans="1:6" ht="19.95" customHeight="1">
      <c r="A9" s="125">
        <v>7</v>
      </c>
      <c r="B9" s="126" t="s">
        <v>65</v>
      </c>
      <c r="C9" s="176">
        <v>2</v>
      </c>
      <c r="D9" s="176">
        <v>2</v>
      </c>
      <c r="E9" s="176">
        <v>0</v>
      </c>
      <c r="F9" s="206">
        <v>3.7731481481481483E-3</v>
      </c>
    </row>
    <row r="10" spans="1:6" ht="19.95" customHeight="1">
      <c r="A10" s="125">
        <v>8</v>
      </c>
      <c r="B10" s="126" t="s">
        <v>53</v>
      </c>
      <c r="C10" s="176">
        <v>2</v>
      </c>
      <c r="D10" s="176">
        <v>2</v>
      </c>
      <c r="E10" s="176">
        <v>0</v>
      </c>
      <c r="F10" s="206">
        <v>3.8657407407407408E-3</v>
      </c>
    </row>
    <row r="11" spans="1:6" ht="19.95" customHeight="1">
      <c r="A11" s="125">
        <v>9</v>
      </c>
      <c r="B11" s="126" t="s">
        <v>49</v>
      </c>
      <c r="C11" s="176">
        <v>12</v>
      </c>
      <c r="D11" s="176">
        <v>12</v>
      </c>
      <c r="E11" s="176">
        <v>0</v>
      </c>
      <c r="F11" s="206">
        <v>4.3981481481481484E-3</v>
      </c>
    </row>
    <row r="12" spans="1:6" ht="19.95" customHeight="1">
      <c r="A12" s="125">
        <v>10</v>
      </c>
      <c r="B12" s="126" t="s">
        <v>42</v>
      </c>
      <c r="C12" s="176">
        <v>12</v>
      </c>
      <c r="D12" s="176">
        <v>12</v>
      </c>
      <c r="E12" s="176">
        <v>0</v>
      </c>
      <c r="F12" s="206">
        <v>4.3981481481481484E-3</v>
      </c>
    </row>
    <row r="13" spans="1:6" ht="19.95" customHeight="1">
      <c r="A13" s="125">
        <v>11</v>
      </c>
      <c r="B13" s="126" t="s">
        <v>66</v>
      </c>
      <c r="C13" s="176">
        <v>18</v>
      </c>
      <c r="D13" s="176">
        <v>18</v>
      </c>
      <c r="E13" s="176">
        <v>0</v>
      </c>
      <c r="F13" s="206">
        <v>4.6990740740740743E-3</v>
      </c>
    </row>
    <row r="14" spans="1:6" ht="19.95" customHeight="1">
      <c r="A14" s="125">
        <v>12</v>
      </c>
      <c r="B14" s="126" t="s">
        <v>62</v>
      </c>
      <c r="C14" s="176">
        <v>34</v>
      </c>
      <c r="D14" s="176">
        <v>34</v>
      </c>
      <c r="E14" s="176">
        <v>0</v>
      </c>
      <c r="F14" s="206">
        <v>4.7569444444444447E-3</v>
      </c>
    </row>
    <row r="15" spans="1:6" ht="19.95" customHeight="1">
      <c r="A15" s="125">
        <v>13</v>
      </c>
      <c r="B15" s="126" t="s">
        <v>64</v>
      </c>
      <c r="C15" s="176">
        <v>15</v>
      </c>
      <c r="D15" s="176">
        <v>15</v>
      </c>
      <c r="E15" s="176">
        <v>0</v>
      </c>
      <c r="F15" s="206">
        <v>4.8148148148148152E-3</v>
      </c>
    </row>
    <row r="16" spans="1:6" ht="19.95" customHeight="1">
      <c r="A16" s="125">
        <v>14</v>
      </c>
      <c r="B16" s="126" t="s">
        <v>56</v>
      </c>
      <c r="C16" s="176">
        <v>17</v>
      </c>
      <c r="D16" s="176">
        <v>17</v>
      </c>
      <c r="E16" s="176">
        <v>0</v>
      </c>
      <c r="F16" s="206">
        <v>5.2662037037037035E-3</v>
      </c>
    </row>
    <row r="17" spans="1:6" ht="19.95" customHeight="1">
      <c r="A17" s="125">
        <v>15</v>
      </c>
      <c r="B17" s="126" t="s">
        <v>52</v>
      </c>
      <c r="C17" s="176">
        <v>14</v>
      </c>
      <c r="D17" s="176">
        <v>14</v>
      </c>
      <c r="E17" s="176">
        <v>0</v>
      </c>
      <c r="F17" s="206">
        <v>5.5787037037037038E-3</v>
      </c>
    </row>
    <row r="18" spans="1:6" ht="19.95" customHeight="1">
      <c r="A18" s="125">
        <v>16</v>
      </c>
      <c r="B18" s="126" t="s">
        <v>67</v>
      </c>
      <c r="C18" s="176">
        <v>11</v>
      </c>
      <c r="D18" s="176">
        <v>11</v>
      </c>
      <c r="E18" s="176">
        <v>0</v>
      </c>
      <c r="F18" s="206">
        <v>5.6134259259259271E-3</v>
      </c>
    </row>
    <row r="19" spans="1:6" ht="19.95" customHeight="1">
      <c r="A19" s="125">
        <v>17</v>
      </c>
      <c r="B19" s="126" t="s">
        <v>60</v>
      </c>
      <c r="C19" s="176">
        <v>7</v>
      </c>
      <c r="D19" s="176">
        <v>7</v>
      </c>
      <c r="E19" s="176">
        <v>0</v>
      </c>
      <c r="F19" s="206">
        <v>5.7407407407407416E-3</v>
      </c>
    </row>
    <row r="20" spans="1:6" ht="19.95" customHeight="1">
      <c r="A20" s="125">
        <v>18</v>
      </c>
      <c r="B20" s="126" t="s">
        <v>54</v>
      </c>
      <c r="C20" s="176">
        <v>10</v>
      </c>
      <c r="D20" s="176">
        <v>10</v>
      </c>
      <c r="E20" s="176">
        <v>0</v>
      </c>
      <c r="F20" s="206">
        <v>5.7638888888888887E-3</v>
      </c>
    </row>
    <row r="21" spans="1:6" ht="19.95" customHeight="1">
      <c r="A21" s="125">
        <v>19</v>
      </c>
      <c r="B21" s="126" t="s">
        <v>73</v>
      </c>
      <c r="C21" s="176">
        <v>6</v>
      </c>
      <c r="D21" s="176">
        <v>6</v>
      </c>
      <c r="E21" s="176">
        <v>0</v>
      </c>
      <c r="F21" s="206">
        <v>5.9953703703703697E-3</v>
      </c>
    </row>
    <row r="22" spans="1:6" ht="19.95" customHeight="1">
      <c r="A22" s="125">
        <v>20</v>
      </c>
      <c r="B22" s="126" t="s">
        <v>43</v>
      </c>
      <c r="C22" s="176">
        <v>29</v>
      </c>
      <c r="D22" s="176">
        <v>29</v>
      </c>
      <c r="E22" s="176">
        <v>0</v>
      </c>
      <c r="F22" s="206">
        <v>6.1921296296296299E-3</v>
      </c>
    </row>
    <row r="23" spans="1:6" ht="19.95" customHeight="1">
      <c r="A23" s="125">
        <v>21</v>
      </c>
      <c r="B23" s="126" t="s">
        <v>72</v>
      </c>
      <c r="C23" s="176">
        <v>1</v>
      </c>
      <c r="D23" s="176">
        <v>1</v>
      </c>
      <c r="E23" s="176">
        <v>0</v>
      </c>
      <c r="F23" s="206">
        <v>6.2962962962962964E-3</v>
      </c>
    </row>
    <row r="24" spans="1:6" ht="19.95" customHeight="1">
      <c r="A24" s="125">
        <v>22</v>
      </c>
      <c r="B24" s="126" t="s">
        <v>57</v>
      </c>
      <c r="C24" s="176">
        <v>29</v>
      </c>
      <c r="D24" s="176">
        <v>29</v>
      </c>
      <c r="E24" s="176">
        <v>0</v>
      </c>
      <c r="F24" s="206">
        <v>6.4467592592592597E-3</v>
      </c>
    </row>
    <row r="25" spans="1:6" ht="19.95" customHeight="1">
      <c r="A25" s="125">
        <v>23</v>
      </c>
      <c r="B25" s="126" t="s">
        <v>69</v>
      </c>
      <c r="C25" s="176">
        <v>12</v>
      </c>
      <c r="D25" s="176">
        <v>12</v>
      </c>
      <c r="E25" s="176">
        <v>0</v>
      </c>
      <c r="F25" s="206">
        <v>6.6319444444444446E-3</v>
      </c>
    </row>
    <row r="26" spans="1:6" ht="19.95" customHeight="1">
      <c r="A26" s="125">
        <v>24</v>
      </c>
      <c r="B26" s="126" t="s">
        <v>50</v>
      </c>
      <c r="C26" s="176">
        <v>7</v>
      </c>
      <c r="D26" s="176">
        <v>7</v>
      </c>
      <c r="E26" s="176" t="s">
        <v>273</v>
      </c>
      <c r="F26" s="206">
        <v>6.9212962962962969E-3</v>
      </c>
    </row>
    <row r="27" spans="1:6" ht="19.95" customHeight="1">
      <c r="A27" s="125">
        <v>25</v>
      </c>
      <c r="B27" s="126" t="s">
        <v>58</v>
      </c>
      <c r="C27" s="176">
        <v>5</v>
      </c>
      <c r="D27" s="176">
        <v>5</v>
      </c>
      <c r="E27" s="176">
        <v>0</v>
      </c>
      <c r="F27" s="206">
        <v>7.2916666666666659E-3</v>
      </c>
    </row>
    <row r="28" spans="1:6" ht="19.95" customHeight="1">
      <c r="A28" s="125">
        <v>26</v>
      </c>
      <c r="B28" s="126" t="s">
        <v>45</v>
      </c>
      <c r="C28" s="176">
        <v>4</v>
      </c>
      <c r="D28" s="176">
        <v>4</v>
      </c>
      <c r="E28" s="176">
        <v>0</v>
      </c>
      <c r="F28" s="206">
        <v>7.6736111111111111E-3</v>
      </c>
    </row>
    <row r="29" spans="1:6" ht="19.95" customHeight="1">
      <c r="A29" s="125">
        <v>27</v>
      </c>
      <c r="B29" s="126" t="s">
        <v>70</v>
      </c>
      <c r="C29" s="176">
        <v>3</v>
      </c>
      <c r="D29" s="176">
        <v>3</v>
      </c>
      <c r="E29" s="176">
        <v>0</v>
      </c>
      <c r="F29" s="206">
        <v>7.905092592592592E-3</v>
      </c>
    </row>
    <row r="30" spans="1:6" ht="19.95" customHeight="1">
      <c r="A30" s="125">
        <v>28</v>
      </c>
      <c r="B30" s="126" t="s">
        <v>48</v>
      </c>
      <c r="C30" s="176">
        <v>3</v>
      </c>
      <c r="D30" s="176">
        <v>3</v>
      </c>
      <c r="E30" s="176">
        <v>0</v>
      </c>
      <c r="F30" s="206">
        <v>8.1828703703703699E-3</v>
      </c>
    </row>
    <row r="31" spans="1:6" ht="19.95" customHeight="1">
      <c r="A31" s="125">
        <v>29</v>
      </c>
      <c r="B31" s="126" t="s">
        <v>44</v>
      </c>
      <c r="C31" s="176">
        <v>8</v>
      </c>
      <c r="D31" s="176">
        <v>8</v>
      </c>
      <c r="E31" s="176">
        <v>0</v>
      </c>
      <c r="F31" s="206">
        <v>8.518518518518519E-3</v>
      </c>
    </row>
    <row r="32" spans="1:6" ht="19.95" customHeight="1">
      <c r="A32" s="125">
        <v>30</v>
      </c>
      <c r="B32" s="126" t="s">
        <v>71</v>
      </c>
      <c r="C32" s="176">
        <v>10</v>
      </c>
      <c r="D32" s="176">
        <v>10</v>
      </c>
      <c r="E32" s="176">
        <v>0</v>
      </c>
      <c r="F32" s="206">
        <v>9.1782407407407403E-3</v>
      </c>
    </row>
    <row r="33" spans="1:6" ht="19.95" customHeight="1">
      <c r="A33" s="125">
        <v>31</v>
      </c>
      <c r="B33" s="126" t="s">
        <v>59</v>
      </c>
      <c r="C33" s="176">
        <v>8</v>
      </c>
      <c r="D33" s="176">
        <v>8</v>
      </c>
      <c r="E33" s="176">
        <v>0</v>
      </c>
      <c r="F33" s="206">
        <v>9.8958333333333329E-3</v>
      </c>
    </row>
    <row r="34" spans="1:6" ht="19.95" customHeight="1">
      <c r="A34" s="128">
        <v>32</v>
      </c>
      <c r="B34" s="207" t="s">
        <v>47</v>
      </c>
      <c r="C34" s="208">
        <v>16</v>
      </c>
      <c r="D34" s="208">
        <v>16</v>
      </c>
      <c r="E34" s="208">
        <v>0</v>
      </c>
      <c r="F34" s="209">
        <v>1.1423611111111112E-2</v>
      </c>
    </row>
    <row r="35" spans="1:6" ht="19.95" customHeight="1">
      <c r="A35" s="128">
        <v>33</v>
      </c>
      <c r="B35" s="207" t="s">
        <v>51</v>
      </c>
      <c r="C35" s="208">
        <v>6</v>
      </c>
      <c r="D35" s="208">
        <v>6</v>
      </c>
      <c r="E35" s="208">
        <v>0</v>
      </c>
      <c r="F35" s="209">
        <v>1.6261574074074074E-2</v>
      </c>
    </row>
    <row r="36" spans="1:6" ht="19.95" customHeight="1">
      <c r="A36" s="128">
        <v>34</v>
      </c>
      <c r="B36" s="207" t="s">
        <v>63</v>
      </c>
      <c r="C36" s="208">
        <v>1</v>
      </c>
      <c r="D36" s="208">
        <v>1</v>
      </c>
      <c r="E36" s="208">
        <v>0</v>
      </c>
      <c r="F36" s="209">
        <v>2.3981481481481479E-2</v>
      </c>
    </row>
    <row r="37" spans="1:6" ht="19.95" customHeight="1">
      <c r="A37" s="210" t="s">
        <v>267</v>
      </c>
      <c r="B37" s="210"/>
      <c r="C37" s="211">
        <f>SUM(C3:C36)</f>
        <v>320</v>
      </c>
      <c r="D37" s="211">
        <f>SUM(D3:D36)</f>
        <v>320</v>
      </c>
      <c r="E37" s="212">
        <v>0</v>
      </c>
      <c r="F37" s="213">
        <f>AVERAGE(F3:F36)</f>
        <v>6.3511029411764727E-3</v>
      </c>
    </row>
  </sheetData>
  <mergeCells count="2">
    <mergeCell ref="A1:F1"/>
    <mergeCell ref="A37:B37"/>
  </mergeCells>
  <printOptions horizontalCentered="1"/>
  <pageMargins left="0.70866141732283472" right="0.70866141732283472" top="0.74803149606299213" bottom="0.74803149606299213" header="0.31496062992125984" footer="0.31496062992125984"/>
  <pageSetup paperSize="5" orientation="portrait" horizontalDpi="200" verticalDpi="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9EE62-0B83-4562-8893-E2002C0E0D56}">
  <sheetPr codeName="Sheet52">
    <tabColor theme="5" tint="-0.249977111117893"/>
  </sheetPr>
  <dimension ref="A1"/>
  <sheetViews>
    <sheetView workbookViewId="0">
      <selection activeCell="N18" sqref="N18"/>
    </sheetView>
  </sheetViews>
  <sheetFormatPr defaultRowHeight="14.4"/>
  <sheetData/>
  <pageMargins left="0.7" right="0.7" top="0.75" bottom="0.75" header="0.3" footer="0.3"/>
  <pageSetup paperSize="5" orientation="landscape" horizontalDpi="200" verticalDpi="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4A3AD-D1FE-436B-A6F0-19A29DCA58D9}">
  <sheetPr codeName="Sheet51">
    <tabColor theme="1"/>
    <pageSetUpPr fitToPage="1"/>
  </sheetPr>
  <dimension ref="A1:L39"/>
  <sheetViews>
    <sheetView tabSelected="1" workbookViewId="0">
      <selection activeCell="O8" sqref="O8"/>
    </sheetView>
  </sheetViews>
  <sheetFormatPr defaultRowHeight="14.4"/>
  <cols>
    <col min="1" max="1" width="6.109375" customWidth="1"/>
    <col min="2" max="2" width="22.77734375" customWidth="1"/>
    <col min="3" max="3" width="21.6640625" customWidth="1"/>
    <col min="4" max="4" width="18" bestFit="1" customWidth="1"/>
    <col min="5" max="5" width="17.77734375" bestFit="1" customWidth="1"/>
    <col min="6" max="6" width="8.6640625" bestFit="1" customWidth="1"/>
    <col min="7" max="7" width="10.21875" bestFit="1" customWidth="1"/>
    <col min="8" max="8" width="11" bestFit="1" customWidth="1"/>
    <col min="9" max="9" width="15.77734375" bestFit="1" customWidth="1"/>
    <col min="10" max="10" width="7.77734375" bestFit="1" customWidth="1"/>
    <col min="11" max="11" width="19.6640625" bestFit="1" customWidth="1"/>
    <col min="12" max="12" width="19.33203125" customWidth="1"/>
  </cols>
  <sheetData>
    <row r="1" spans="1:12" ht="31.2" customHeight="1">
      <c r="A1" s="214" t="s">
        <v>274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</row>
    <row r="2" spans="1:12" ht="29.4" customHeight="1">
      <c r="A2" s="215" t="s">
        <v>275</v>
      </c>
      <c r="B2" s="215"/>
      <c r="C2" s="216" t="s">
        <v>276</v>
      </c>
      <c r="D2" s="217"/>
      <c r="E2" s="215" t="s">
        <v>277</v>
      </c>
      <c r="F2" s="215"/>
      <c r="G2" s="215"/>
      <c r="H2" s="215"/>
      <c r="I2" s="215"/>
      <c r="J2" s="215"/>
      <c r="K2" s="215"/>
      <c r="L2" s="215"/>
    </row>
    <row r="3" spans="1:12">
      <c r="A3" s="218" t="s">
        <v>278</v>
      </c>
      <c r="B3" s="218" t="s">
        <v>279</v>
      </c>
      <c r="C3" s="218" t="s">
        <v>280</v>
      </c>
      <c r="D3" s="218" t="s">
        <v>281</v>
      </c>
      <c r="E3" s="218" t="s">
        <v>282</v>
      </c>
      <c r="F3" s="218" t="s">
        <v>283</v>
      </c>
      <c r="G3" s="218" t="s">
        <v>284</v>
      </c>
      <c r="H3" s="218" t="s">
        <v>285</v>
      </c>
      <c r="I3" s="218" t="s">
        <v>286</v>
      </c>
      <c r="J3" s="218"/>
      <c r="K3" s="218"/>
      <c r="L3" s="218"/>
    </row>
    <row r="4" spans="1:12" ht="55.2">
      <c r="A4" s="218"/>
      <c r="B4" s="218"/>
      <c r="C4" s="218"/>
      <c r="D4" s="218"/>
      <c r="E4" s="218"/>
      <c r="F4" s="218"/>
      <c r="G4" s="218"/>
      <c r="H4" s="218"/>
      <c r="I4" s="219" t="s">
        <v>287</v>
      </c>
      <c r="J4" s="219" t="s">
        <v>288</v>
      </c>
      <c r="K4" s="219" t="s">
        <v>289</v>
      </c>
      <c r="L4" s="219" t="s">
        <v>290</v>
      </c>
    </row>
    <row r="5" spans="1:12" ht="25.05" customHeight="1">
      <c r="A5" s="220">
        <v>1</v>
      </c>
      <c r="B5" s="219">
        <v>2</v>
      </c>
      <c r="C5" s="219">
        <v>3</v>
      </c>
      <c r="D5" s="219">
        <v>4</v>
      </c>
      <c r="E5" s="219">
        <v>5</v>
      </c>
      <c r="F5" s="219">
        <v>6</v>
      </c>
      <c r="G5" s="219">
        <v>7</v>
      </c>
      <c r="H5" s="219">
        <v>8</v>
      </c>
      <c r="I5" s="219">
        <v>9</v>
      </c>
      <c r="J5" s="219">
        <v>10</v>
      </c>
      <c r="K5" s="219">
        <v>11</v>
      </c>
      <c r="L5" s="219">
        <v>12</v>
      </c>
    </row>
    <row r="6" spans="1:12" ht="25.05" customHeight="1">
      <c r="A6" s="221">
        <v>1</v>
      </c>
      <c r="B6" s="222" t="s">
        <v>291</v>
      </c>
      <c r="C6" s="222" t="s">
        <v>139</v>
      </c>
      <c r="D6" s="221">
        <v>5</v>
      </c>
      <c r="E6" s="221">
        <v>0</v>
      </c>
      <c r="F6" s="221">
        <v>0</v>
      </c>
      <c r="G6" s="221">
        <v>0</v>
      </c>
      <c r="H6" s="221">
        <v>0</v>
      </c>
      <c r="I6" s="221">
        <v>1</v>
      </c>
      <c r="J6" s="221">
        <v>0</v>
      </c>
      <c r="K6" s="221">
        <v>1</v>
      </c>
      <c r="L6" s="223" t="s">
        <v>292</v>
      </c>
    </row>
    <row r="7" spans="1:12" ht="25.05" customHeight="1">
      <c r="A7" s="221">
        <v>2</v>
      </c>
      <c r="B7" s="222" t="s">
        <v>293</v>
      </c>
      <c r="C7" s="222" t="s">
        <v>180</v>
      </c>
      <c r="D7" s="221">
        <v>14</v>
      </c>
      <c r="E7" s="221">
        <v>7</v>
      </c>
      <c r="F7" s="221">
        <v>0</v>
      </c>
      <c r="G7" s="221">
        <v>2</v>
      </c>
      <c r="H7" s="221">
        <v>0</v>
      </c>
      <c r="I7" s="221">
        <v>0</v>
      </c>
      <c r="J7" s="221">
        <v>2</v>
      </c>
      <c r="K7" s="221">
        <v>2</v>
      </c>
      <c r="L7" s="223" t="s">
        <v>294</v>
      </c>
    </row>
    <row r="8" spans="1:12" ht="25.05" customHeight="1">
      <c r="A8" s="221">
        <v>3</v>
      </c>
      <c r="B8" s="222" t="s">
        <v>295</v>
      </c>
      <c r="C8" s="222" t="s">
        <v>296</v>
      </c>
      <c r="D8" s="221">
        <v>10</v>
      </c>
      <c r="E8" s="221">
        <v>0</v>
      </c>
      <c r="F8" s="221">
        <v>0</v>
      </c>
      <c r="G8" s="221">
        <v>0</v>
      </c>
      <c r="H8" s="221">
        <v>0</v>
      </c>
      <c r="I8" s="221">
        <v>2</v>
      </c>
      <c r="J8" s="221">
        <v>0</v>
      </c>
      <c r="K8" s="221">
        <v>2</v>
      </c>
      <c r="L8" s="223" t="s">
        <v>297</v>
      </c>
    </row>
    <row r="9" spans="1:12" ht="25.05" customHeight="1">
      <c r="A9" s="221">
        <v>4</v>
      </c>
      <c r="B9" s="222" t="s">
        <v>298</v>
      </c>
      <c r="C9" s="222" t="s">
        <v>299</v>
      </c>
      <c r="D9" s="221">
        <v>2</v>
      </c>
      <c r="E9" s="221">
        <v>0</v>
      </c>
      <c r="F9" s="221">
        <v>0</v>
      </c>
      <c r="G9" s="221">
        <v>0</v>
      </c>
      <c r="H9" s="221">
        <v>0</v>
      </c>
      <c r="I9" s="221">
        <v>1</v>
      </c>
      <c r="J9" s="221">
        <v>0</v>
      </c>
      <c r="K9" s="221">
        <v>1</v>
      </c>
      <c r="L9" s="223" t="s">
        <v>300</v>
      </c>
    </row>
    <row r="10" spans="1:12" ht="25.05" customHeight="1">
      <c r="A10" s="221">
        <v>5</v>
      </c>
      <c r="B10" s="222" t="s">
        <v>301</v>
      </c>
      <c r="C10" s="222" t="s">
        <v>182</v>
      </c>
      <c r="D10" s="221">
        <v>23</v>
      </c>
      <c r="E10" s="221">
        <v>4</v>
      </c>
      <c r="F10" s="221">
        <v>1</v>
      </c>
      <c r="G10" s="221">
        <v>7</v>
      </c>
      <c r="H10" s="221">
        <v>0</v>
      </c>
      <c r="I10" s="221">
        <v>2</v>
      </c>
      <c r="J10" s="221">
        <v>6</v>
      </c>
      <c r="K10" s="221">
        <v>8</v>
      </c>
      <c r="L10" s="223" t="s">
        <v>302</v>
      </c>
    </row>
    <row r="11" spans="1:12" ht="25.05" customHeight="1">
      <c r="A11" s="220">
        <v>6</v>
      </c>
      <c r="B11" s="224" t="s">
        <v>303</v>
      </c>
      <c r="C11" s="224" t="s">
        <v>117</v>
      </c>
      <c r="D11" s="220">
        <v>11</v>
      </c>
      <c r="E11" s="220">
        <v>0</v>
      </c>
      <c r="F11" s="220">
        <v>2</v>
      </c>
      <c r="G11" s="220">
        <v>1</v>
      </c>
      <c r="H11" s="220">
        <v>0</v>
      </c>
      <c r="I11" s="220">
        <v>4</v>
      </c>
      <c r="J11" s="220">
        <v>0</v>
      </c>
      <c r="K11" s="220">
        <v>4</v>
      </c>
      <c r="L11" s="225" t="s">
        <v>304</v>
      </c>
    </row>
    <row r="12" spans="1:12" ht="25.05" customHeight="1">
      <c r="A12" s="220">
        <v>7</v>
      </c>
      <c r="B12" s="224" t="s">
        <v>305</v>
      </c>
      <c r="C12" s="224" t="s">
        <v>138</v>
      </c>
      <c r="D12" s="220">
        <v>13</v>
      </c>
      <c r="E12" s="220">
        <v>3</v>
      </c>
      <c r="F12" s="220">
        <v>2</v>
      </c>
      <c r="G12" s="220">
        <v>1</v>
      </c>
      <c r="H12" s="220">
        <v>0</v>
      </c>
      <c r="I12" s="220">
        <v>6</v>
      </c>
      <c r="J12" s="220">
        <v>0</v>
      </c>
      <c r="K12" s="220">
        <v>6</v>
      </c>
      <c r="L12" s="225" t="s">
        <v>306</v>
      </c>
    </row>
    <row r="13" spans="1:12" ht="25.05" customHeight="1">
      <c r="A13" s="220">
        <v>8</v>
      </c>
      <c r="B13" s="224" t="s">
        <v>307</v>
      </c>
      <c r="C13" s="224" t="s">
        <v>141</v>
      </c>
      <c r="D13" s="220">
        <v>17</v>
      </c>
      <c r="E13" s="220">
        <v>0</v>
      </c>
      <c r="F13" s="220">
        <v>4</v>
      </c>
      <c r="G13" s="220">
        <v>2</v>
      </c>
      <c r="H13" s="220">
        <v>0</v>
      </c>
      <c r="I13" s="220">
        <v>9</v>
      </c>
      <c r="J13" s="220">
        <v>0</v>
      </c>
      <c r="K13" s="220">
        <v>9</v>
      </c>
      <c r="L13" s="225" t="s">
        <v>308</v>
      </c>
    </row>
    <row r="14" spans="1:12" ht="25.05" customHeight="1">
      <c r="A14" s="220">
        <v>9</v>
      </c>
      <c r="B14" s="224" t="s">
        <v>309</v>
      </c>
      <c r="C14" s="224" t="s">
        <v>310</v>
      </c>
      <c r="D14" s="220">
        <v>11</v>
      </c>
      <c r="E14" s="220">
        <v>0</v>
      </c>
      <c r="F14" s="220">
        <v>3</v>
      </c>
      <c r="G14" s="220">
        <v>0</v>
      </c>
      <c r="H14" s="220">
        <v>0</v>
      </c>
      <c r="I14" s="220">
        <v>5</v>
      </c>
      <c r="J14" s="220">
        <v>0</v>
      </c>
      <c r="K14" s="220">
        <v>5</v>
      </c>
      <c r="L14" s="225" t="s">
        <v>311</v>
      </c>
    </row>
    <row r="15" spans="1:12" ht="25.05" customHeight="1">
      <c r="A15" s="220">
        <v>10</v>
      </c>
      <c r="B15" s="224" t="s">
        <v>312</v>
      </c>
      <c r="C15" s="224" t="s">
        <v>313</v>
      </c>
      <c r="D15" s="220">
        <v>1</v>
      </c>
      <c r="E15" s="220">
        <v>0</v>
      </c>
      <c r="F15" s="220">
        <v>1</v>
      </c>
      <c r="G15" s="220">
        <v>1</v>
      </c>
      <c r="H15" s="220">
        <v>0</v>
      </c>
      <c r="I15" s="220">
        <v>3</v>
      </c>
      <c r="J15" s="220">
        <v>0</v>
      </c>
      <c r="K15" s="220">
        <v>3</v>
      </c>
      <c r="L15" s="225" t="s">
        <v>314</v>
      </c>
    </row>
    <row r="16" spans="1:12" ht="25.05" customHeight="1">
      <c r="A16" s="220">
        <v>11</v>
      </c>
      <c r="B16" s="224" t="s">
        <v>315</v>
      </c>
      <c r="C16" s="224" t="s">
        <v>177</v>
      </c>
      <c r="D16" s="220">
        <v>11</v>
      </c>
      <c r="E16" s="220">
        <v>0</v>
      </c>
      <c r="F16" s="220">
        <v>4</v>
      </c>
      <c r="G16" s="220">
        <v>5</v>
      </c>
      <c r="H16" s="220">
        <v>0</v>
      </c>
      <c r="I16" s="220">
        <v>9</v>
      </c>
      <c r="J16" s="220">
        <v>1</v>
      </c>
      <c r="K16" s="220">
        <v>10</v>
      </c>
      <c r="L16" s="225" t="s">
        <v>316</v>
      </c>
    </row>
    <row r="17" spans="1:12" ht="25.05" customHeight="1">
      <c r="A17" s="220">
        <v>12</v>
      </c>
      <c r="B17" s="224" t="s">
        <v>317</v>
      </c>
      <c r="C17" s="224" t="s">
        <v>318</v>
      </c>
      <c r="D17" s="220">
        <v>17</v>
      </c>
      <c r="E17" s="220">
        <v>0</v>
      </c>
      <c r="F17" s="220">
        <v>1</v>
      </c>
      <c r="G17" s="220">
        <v>3</v>
      </c>
      <c r="H17" s="220">
        <v>0</v>
      </c>
      <c r="I17" s="220">
        <v>4</v>
      </c>
      <c r="J17" s="220">
        <v>0</v>
      </c>
      <c r="K17" s="220">
        <v>4</v>
      </c>
      <c r="L17" s="225" t="s">
        <v>319</v>
      </c>
    </row>
    <row r="18" spans="1:12" ht="25.05" customHeight="1">
      <c r="A18" s="220">
        <v>13</v>
      </c>
      <c r="B18" s="224" t="s">
        <v>320</v>
      </c>
      <c r="C18" s="224" t="s">
        <v>111</v>
      </c>
      <c r="D18" s="220">
        <v>1</v>
      </c>
      <c r="E18" s="220">
        <v>0</v>
      </c>
      <c r="F18" s="220">
        <v>9</v>
      </c>
      <c r="G18" s="220">
        <v>6</v>
      </c>
      <c r="H18" s="220">
        <v>0</v>
      </c>
      <c r="I18" s="220">
        <v>15</v>
      </c>
      <c r="J18" s="220">
        <v>1</v>
      </c>
      <c r="K18" s="220">
        <v>16</v>
      </c>
      <c r="L18" s="225" t="s">
        <v>321</v>
      </c>
    </row>
    <row r="19" spans="1:12" ht="25.05" customHeight="1">
      <c r="A19" s="220">
        <v>14</v>
      </c>
      <c r="B19" s="224" t="s">
        <v>322</v>
      </c>
      <c r="C19" s="224" t="s">
        <v>112</v>
      </c>
      <c r="D19" s="220">
        <v>4</v>
      </c>
      <c r="E19" s="220">
        <v>0</v>
      </c>
      <c r="F19" s="220">
        <v>3</v>
      </c>
      <c r="G19" s="220">
        <v>3</v>
      </c>
      <c r="H19" s="220">
        <v>0</v>
      </c>
      <c r="I19" s="220">
        <v>6</v>
      </c>
      <c r="J19" s="220">
        <v>0</v>
      </c>
      <c r="K19" s="220">
        <v>6</v>
      </c>
      <c r="L19" s="225" t="s">
        <v>323</v>
      </c>
    </row>
    <row r="20" spans="1:12" ht="25.05" customHeight="1">
      <c r="A20" s="220">
        <v>15</v>
      </c>
      <c r="B20" s="224" t="s">
        <v>324</v>
      </c>
      <c r="C20" s="224" t="s">
        <v>121</v>
      </c>
      <c r="D20" s="220">
        <v>2</v>
      </c>
      <c r="E20" s="220">
        <v>0</v>
      </c>
      <c r="F20" s="220">
        <v>3</v>
      </c>
      <c r="G20" s="220">
        <v>4</v>
      </c>
      <c r="H20" s="220">
        <v>0</v>
      </c>
      <c r="I20" s="220">
        <v>6</v>
      </c>
      <c r="J20" s="220">
        <v>0</v>
      </c>
      <c r="K20" s="220">
        <v>6</v>
      </c>
      <c r="L20" s="225" t="s">
        <v>325</v>
      </c>
    </row>
    <row r="21" spans="1:12" ht="25.05" customHeight="1">
      <c r="A21" s="220">
        <v>16</v>
      </c>
      <c r="B21" s="224" t="s">
        <v>326</v>
      </c>
      <c r="C21" s="224" t="s">
        <v>192</v>
      </c>
      <c r="D21" s="220">
        <v>5</v>
      </c>
      <c r="E21" s="220">
        <v>0</v>
      </c>
      <c r="F21" s="220">
        <v>2</v>
      </c>
      <c r="G21" s="220">
        <v>5</v>
      </c>
      <c r="H21" s="220">
        <v>0</v>
      </c>
      <c r="I21" s="220">
        <v>9</v>
      </c>
      <c r="J21" s="220">
        <v>0</v>
      </c>
      <c r="K21" s="220">
        <v>9</v>
      </c>
      <c r="L21" s="225" t="s">
        <v>327</v>
      </c>
    </row>
    <row r="22" spans="1:12" ht="25.05" customHeight="1">
      <c r="A22" s="220">
        <v>17</v>
      </c>
      <c r="B22" s="224" t="s">
        <v>328</v>
      </c>
      <c r="C22" s="224" t="s">
        <v>122</v>
      </c>
      <c r="D22" s="220">
        <v>26</v>
      </c>
      <c r="E22" s="220">
        <v>0</v>
      </c>
      <c r="F22" s="220">
        <v>3</v>
      </c>
      <c r="G22" s="220">
        <v>4</v>
      </c>
      <c r="H22" s="220">
        <v>0</v>
      </c>
      <c r="I22" s="220">
        <v>11</v>
      </c>
      <c r="J22" s="220">
        <v>0</v>
      </c>
      <c r="K22" s="220">
        <v>11</v>
      </c>
      <c r="L22" s="225" t="s">
        <v>329</v>
      </c>
    </row>
    <row r="23" spans="1:12" ht="25.05" customHeight="1">
      <c r="A23" s="220">
        <v>18</v>
      </c>
      <c r="B23" s="224" t="s">
        <v>330</v>
      </c>
      <c r="C23" s="224" t="s">
        <v>331</v>
      </c>
      <c r="D23" s="220">
        <v>0</v>
      </c>
      <c r="E23" s="220">
        <v>0</v>
      </c>
      <c r="F23" s="220">
        <v>2</v>
      </c>
      <c r="G23" s="220">
        <v>2</v>
      </c>
      <c r="H23" s="220">
        <v>0</v>
      </c>
      <c r="I23" s="220">
        <v>4</v>
      </c>
      <c r="J23" s="220">
        <v>0</v>
      </c>
      <c r="K23" s="220">
        <v>4</v>
      </c>
      <c r="L23" s="225" t="s">
        <v>332</v>
      </c>
    </row>
    <row r="24" spans="1:12" ht="25.05" customHeight="1">
      <c r="A24" s="220">
        <v>19</v>
      </c>
      <c r="B24" s="224" t="s">
        <v>333</v>
      </c>
      <c r="C24" s="224" t="s">
        <v>120</v>
      </c>
      <c r="D24" s="220">
        <v>4</v>
      </c>
      <c r="E24" s="220">
        <v>0</v>
      </c>
      <c r="F24" s="220">
        <v>1</v>
      </c>
      <c r="G24" s="220">
        <v>1</v>
      </c>
      <c r="H24" s="220">
        <v>0</v>
      </c>
      <c r="I24" s="220">
        <v>2</v>
      </c>
      <c r="J24" s="220">
        <v>0</v>
      </c>
      <c r="K24" s="220">
        <v>2</v>
      </c>
      <c r="L24" s="225" t="s">
        <v>334</v>
      </c>
    </row>
    <row r="25" spans="1:12" ht="25.05" customHeight="1">
      <c r="A25" s="220">
        <v>20</v>
      </c>
      <c r="B25" s="224" t="s">
        <v>335</v>
      </c>
      <c r="C25" s="224" t="s">
        <v>336</v>
      </c>
      <c r="D25" s="220">
        <v>9</v>
      </c>
      <c r="E25" s="220">
        <v>4</v>
      </c>
      <c r="F25" s="220">
        <v>3</v>
      </c>
      <c r="G25" s="220">
        <v>8</v>
      </c>
      <c r="H25" s="220">
        <v>0</v>
      </c>
      <c r="I25" s="220">
        <v>11</v>
      </c>
      <c r="J25" s="220">
        <v>1</v>
      </c>
      <c r="K25" s="220">
        <v>12</v>
      </c>
      <c r="L25" s="225" t="s">
        <v>337</v>
      </c>
    </row>
    <row r="26" spans="1:12" ht="25.05" customHeight="1">
      <c r="A26" s="220">
        <v>21</v>
      </c>
      <c r="B26" s="224" t="s">
        <v>338</v>
      </c>
      <c r="C26" s="224" t="s">
        <v>125</v>
      </c>
      <c r="D26" s="220">
        <v>8</v>
      </c>
      <c r="E26" s="220">
        <v>0</v>
      </c>
      <c r="F26" s="220">
        <v>5</v>
      </c>
      <c r="G26" s="220">
        <v>5</v>
      </c>
      <c r="H26" s="220">
        <v>0</v>
      </c>
      <c r="I26" s="220">
        <v>10</v>
      </c>
      <c r="J26" s="220">
        <v>0</v>
      </c>
      <c r="K26" s="220">
        <v>10</v>
      </c>
      <c r="L26" s="225" t="s">
        <v>339</v>
      </c>
    </row>
    <row r="27" spans="1:12" ht="25.05" customHeight="1">
      <c r="A27" s="220">
        <v>22</v>
      </c>
      <c r="B27" s="224" t="s">
        <v>340</v>
      </c>
      <c r="C27" s="224" t="s">
        <v>114</v>
      </c>
      <c r="D27" s="220">
        <v>7</v>
      </c>
      <c r="E27" s="220">
        <v>0</v>
      </c>
      <c r="F27" s="220">
        <v>4</v>
      </c>
      <c r="G27" s="220">
        <v>4</v>
      </c>
      <c r="H27" s="220">
        <v>0</v>
      </c>
      <c r="I27" s="220">
        <v>8</v>
      </c>
      <c r="J27" s="220">
        <v>0</v>
      </c>
      <c r="K27" s="220">
        <v>8</v>
      </c>
      <c r="L27" s="225" t="s">
        <v>341</v>
      </c>
    </row>
    <row r="28" spans="1:12" ht="25.05" customHeight="1">
      <c r="A28" s="220">
        <v>23</v>
      </c>
      <c r="B28" s="224" t="s">
        <v>342</v>
      </c>
      <c r="C28" s="224" t="s">
        <v>133</v>
      </c>
      <c r="D28" s="220">
        <v>6</v>
      </c>
      <c r="E28" s="220">
        <v>0</v>
      </c>
      <c r="F28" s="220">
        <v>2</v>
      </c>
      <c r="G28" s="220">
        <v>2</v>
      </c>
      <c r="H28" s="220">
        <v>0</v>
      </c>
      <c r="I28" s="220">
        <v>4</v>
      </c>
      <c r="J28" s="220">
        <v>0</v>
      </c>
      <c r="K28" s="220">
        <v>4</v>
      </c>
      <c r="L28" s="225" t="s">
        <v>343</v>
      </c>
    </row>
    <row r="29" spans="1:12" ht="25.05" customHeight="1">
      <c r="A29" s="220">
        <v>24</v>
      </c>
      <c r="B29" s="224" t="s">
        <v>344</v>
      </c>
      <c r="C29" s="224" t="s">
        <v>189</v>
      </c>
      <c r="D29" s="220">
        <v>13</v>
      </c>
      <c r="E29" s="220">
        <v>0</v>
      </c>
      <c r="F29" s="220">
        <v>2</v>
      </c>
      <c r="G29" s="220">
        <v>4</v>
      </c>
      <c r="H29" s="220">
        <v>0</v>
      </c>
      <c r="I29" s="220">
        <v>6</v>
      </c>
      <c r="J29" s="220">
        <v>0</v>
      </c>
      <c r="K29" s="220">
        <v>6</v>
      </c>
      <c r="L29" s="225" t="s">
        <v>345</v>
      </c>
    </row>
    <row r="30" spans="1:12" ht="25.05" customHeight="1">
      <c r="A30" s="220">
        <v>25</v>
      </c>
      <c r="B30" s="224" t="s">
        <v>346</v>
      </c>
      <c r="C30" s="224" t="s">
        <v>347</v>
      </c>
      <c r="D30" s="220">
        <v>0</v>
      </c>
      <c r="E30" s="220">
        <v>0</v>
      </c>
      <c r="F30" s="220">
        <v>7</v>
      </c>
      <c r="G30" s="220">
        <v>7</v>
      </c>
      <c r="H30" s="220">
        <v>0</v>
      </c>
      <c r="I30" s="220">
        <v>14</v>
      </c>
      <c r="J30" s="220">
        <v>0</v>
      </c>
      <c r="K30" s="220">
        <v>14</v>
      </c>
      <c r="L30" s="225" t="s">
        <v>348</v>
      </c>
    </row>
    <row r="31" spans="1:12" ht="25.05" customHeight="1">
      <c r="A31" s="220">
        <v>26</v>
      </c>
      <c r="B31" s="224" t="s">
        <v>349</v>
      </c>
      <c r="C31" s="224" t="s">
        <v>119</v>
      </c>
      <c r="D31" s="220">
        <v>2</v>
      </c>
      <c r="E31" s="220">
        <v>0</v>
      </c>
      <c r="F31" s="220">
        <v>4</v>
      </c>
      <c r="G31" s="220">
        <v>1</v>
      </c>
      <c r="H31" s="220">
        <v>0</v>
      </c>
      <c r="I31" s="220">
        <v>5</v>
      </c>
      <c r="J31" s="220">
        <v>0</v>
      </c>
      <c r="K31" s="220">
        <v>5</v>
      </c>
      <c r="L31" s="225" t="s">
        <v>350</v>
      </c>
    </row>
    <row r="32" spans="1:12" ht="25.05" customHeight="1">
      <c r="A32" s="220">
        <v>27</v>
      </c>
      <c r="B32" s="224" t="s">
        <v>351</v>
      </c>
      <c r="C32" s="224" t="s">
        <v>186</v>
      </c>
      <c r="D32" s="220">
        <v>6</v>
      </c>
      <c r="E32" s="220">
        <v>0</v>
      </c>
      <c r="F32" s="220">
        <v>0</v>
      </c>
      <c r="G32" s="220">
        <v>0</v>
      </c>
      <c r="H32" s="220">
        <v>0</v>
      </c>
      <c r="I32" s="220">
        <v>0</v>
      </c>
      <c r="J32" s="220">
        <v>0</v>
      </c>
      <c r="K32" s="220">
        <v>0</v>
      </c>
      <c r="L32" s="225" t="s">
        <v>273</v>
      </c>
    </row>
    <row r="33" spans="1:12" ht="25.05" customHeight="1">
      <c r="A33" s="220">
        <v>28</v>
      </c>
      <c r="B33" s="224" t="s">
        <v>352</v>
      </c>
      <c r="C33" s="224" t="s">
        <v>126</v>
      </c>
      <c r="D33" s="220">
        <v>4</v>
      </c>
      <c r="E33" s="220">
        <v>1</v>
      </c>
      <c r="F33" s="220">
        <v>0</v>
      </c>
      <c r="G33" s="220">
        <v>0</v>
      </c>
      <c r="H33" s="220">
        <v>0</v>
      </c>
      <c r="I33" s="220">
        <v>0</v>
      </c>
      <c r="J33" s="220">
        <v>0</v>
      </c>
      <c r="K33" s="220">
        <v>0</v>
      </c>
      <c r="L33" s="225" t="s">
        <v>273</v>
      </c>
    </row>
    <row r="34" spans="1:12" ht="25.05" customHeight="1">
      <c r="A34" s="220">
        <v>29</v>
      </c>
      <c r="B34" s="224" t="s">
        <v>353</v>
      </c>
      <c r="C34" s="224" t="s">
        <v>129</v>
      </c>
      <c r="D34" s="220">
        <v>7</v>
      </c>
      <c r="E34" s="220">
        <v>0</v>
      </c>
      <c r="F34" s="220">
        <v>0</v>
      </c>
      <c r="G34" s="220">
        <v>0</v>
      </c>
      <c r="H34" s="220">
        <v>0</v>
      </c>
      <c r="I34" s="220">
        <v>0</v>
      </c>
      <c r="J34" s="220">
        <v>0</v>
      </c>
      <c r="K34" s="220">
        <v>0</v>
      </c>
      <c r="L34" s="225" t="s">
        <v>273</v>
      </c>
    </row>
    <row r="35" spans="1:12" ht="25.05" customHeight="1">
      <c r="A35" s="220">
        <v>30</v>
      </c>
      <c r="B35" s="224" t="s">
        <v>354</v>
      </c>
      <c r="C35" s="224" t="s">
        <v>134</v>
      </c>
      <c r="D35" s="220">
        <v>5</v>
      </c>
      <c r="E35" s="220">
        <v>0</v>
      </c>
      <c r="F35" s="220">
        <v>0</v>
      </c>
      <c r="G35" s="220">
        <v>0</v>
      </c>
      <c r="H35" s="220">
        <v>0</v>
      </c>
      <c r="I35" s="220">
        <v>0</v>
      </c>
      <c r="J35" s="220">
        <v>0</v>
      </c>
      <c r="K35" s="220">
        <v>0</v>
      </c>
      <c r="L35" s="225" t="s">
        <v>273</v>
      </c>
    </row>
    <row r="36" spans="1:12" ht="25.05" customHeight="1">
      <c r="A36" s="220">
        <v>31</v>
      </c>
      <c r="B36" s="224" t="s">
        <v>355</v>
      </c>
      <c r="C36" s="224" t="s">
        <v>132</v>
      </c>
      <c r="D36" s="220">
        <v>6</v>
      </c>
      <c r="E36" s="220">
        <v>0</v>
      </c>
      <c r="F36" s="220">
        <v>0</v>
      </c>
      <c r="G36" s="220">
        <v>0</v>
      </c>
      <c r="H36" s="220">
        <v>0</v>
      </c>
      <c r="I36" s="220">
        <v>0</v>
      </c>
      <c r="J36" s="220">
        <v>0</v>
      </c>
      <c r="K36" s="220">
        <v>0</v>
      </c>
      <c r="L36" s="225" t="s">
        <v>273</v>
      </c>
    </row>
    <row r="37" spans="1:12" ht="25.05" customHeight="1">
      <c r="A37" s="220">
        <v>32</v>
      </c>
      <c r="B37" s="224" t="s">
        <v>356</v>
      </c>
      <c r="C37" s="224" t="s">
        <v>135</v>
      </c>
      <c r="D37" s="220">
        <v>15</v>
      </c>
      <c r="E37" s="220">
        <v>0</v>
      </c>
      <c r="F37" s="220">
        <v>0</v>
      </c>
      <c r="G37" s="220">
        <v>0</v>
      </c>
      <c r="H37" s="220">
        <v>0</v>
      </c>
      <c r="I37" s="220">
        <v>0</v>
      </c>
      <c r="J37" s="220">
        <v>0</v>
      </c>
      <c r="K37" s="220">
        <v>0</v>
      </c>
      <c r="L37" s="225" t="s">
        <v>273</v>
      </c>
    </row>
    <row r="38" spans="1:12" ht="25.05" customHeight="1">
      <c r="A38" s="220">
        <v>33</v>
      </c>
      <c r="B38" s="224" t="s">
        <v>357</v>
      </c>
      <c r="C38" s="224" t="s">
        <v>136</v>
      </c>
      <c r="D38" s="220">
        <v>5</v>
      </c>
      <c r="E38" s="220">
        <v>0</v>
      </c>
      <c r="F38" s="220">
        <v>0</v>
      </c>
      <c r="G38" s="220">
        <v>0</v>
      </c>
      <c r="H38" s="220">
        <v>0</v>
      </c>
      <c r="I38" s="220">
        <v>0</v>
      </c>
      <c r="J38" s="220">
        <v>0</v>
      </c>
      <c r="K38" s="220">
        <v>0</v>
      </c>
      <c r="L38" s="225" t="s">
        <v>273</v>
      </c>
    </row>
    <row r="39" spans="1:12" ht="25.05" customHeight="1">
      <c r="A39" s="220">
        <v>34</v>
      </c>
      <c r="B39" s="224" t="s">
        <v>358</v>
      </c>
      <c r="C39" s="224" t="s">
        <v>183</v>
      </c>
      <c r="D39" s="220">
        <v>0</v>
      </c>
      <c r="E39" s="220">
        <v>0</v>
      </c>
      <c r="F39" s="220">
        <v>0</v>
      </c>
      <c r="G39" s="220">
        <v>0</v>
      </c>
      <c r="H39" s="220">
        <v>0</v>
      </c>
      <c r="I39" s="220">
        <v>0</v>
      </c>
      <c r="J39" s="220">
        <v>0</v>
      </c>
      <c r="K39" s="220">
        <v>0</v>
      </c>
      <c r="L39" s="225" t="s">
        <v>273</v>
      </c>
    </row>
  </sheetData>
  <mergeCells count="13">
    <mergeCell ref="G3:G4"/>
    <mergeCell ref="H3:H4"/>
    <mergeCell ref="I3:L3"/>
    <mergeCell ref="A1:L1"/>
    <mergeCell ref="A2:B2"/>
    <mergeCell ref="C2:D2"/>
    <mergeCell ref="E2:L2"/>
    <mergeCell ref="A3:A4"/>
    <mergeCell ref="B3:B4"/>
    <mergeCell ref="C3:C4"/>
    <mergeCell ref="D3:D4"/>
    <mergeCell ref="E3:E4"/>
    <mergeCell ref="F3:F4"/>
  </mergeCells>
  <printOptions horizontalCentered="1"/>
  <pageMargins left="0.51181102362204722" right="0.51181102362204722" top="0.55118110236220474" bottom="0.55118110236220474" header="0.31496062992125984" footer="0.31496062992125984"/>
  <pageSetup paperSize="5" scale="90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24</vt:i4>
      </vt:variant>
    </vt:vector>
  </HeadingPairs>
  <TitlesOfParts>
    <vt:vector size="42" baseType="lpstr">
      <vt:lpstr>1_NCL_60_DIST</vt:lpstr>
      <vt:lpstr>1_NCL_60_DIST_2</vt:lpstr>
      <vt:lpstr>3_NCL_90_DIST</vt:lpstr>
      <vt:lpstr>3_NCL_90_DIST_2</vt:lpstr>
      <vt:lpstr>5_CCTNS_STS_YR_DIST</vt:lpstr>
      <vt:lpstr>7_CCTNS_STS_WK_DIST</vt:lpstr>
      <vt:lpstr>9_CEIR_DIST</vt:lpstr>
      <vt:lpstr>11_ABS_PEN_DIST</vt:lpstr>
      <vt:lpstr>24_SID_NC_DIST</vt:lpstr>
      <vt:lpstr>24_SID_NC_DIST_2</vt:lpstr>
      <vt:lpstr>25_ITSSO_DIST</vt:lpstr>
      <vt:lpstr>25_ITSSO_DIST_2</vt:lpstr>
      <vt:lpstr>27_ESUMMONS</vt:lpstr>
      <vt:lpstr>34_MedLEaPR_DIST</vt:lpstr>
      <vt:lpstr>36_TABS_CTR</vt:lpstr>
      <vt:lpstr>38_100RT_DIST</vt:lpstr>
      <vt:lpstr>39_DRONES</vt:lpstr>
      <vt:lpstr>41_EOFFICE</vt:lpstr>
      <vt:lpstr>'1_NCL_60_DIST'!Print_Area</vt:lpstr>
      <vt:lpstr>'1_NCL_60_DIST_2'!Print_Area</vt:lpstr>
      <vt:lpstr>'24_SID_NC_DIST'!Print_Area</vt:lpstr>
      <vt:lpstr>'24_SID_NC_DIST_2'!Print_Area</vt:lpstr>
      <vt:lpstr>'25_ITSSO_DIST'!Print_Area</vt:lpstr>
      <vt:lpstr>'25_ITSSO_DIST_2'!Print_Area</vt:lpstr>
      <vt:lpstr>'3_NCL_90_DIST'!Print_Area</vt:lpstr>
      <vt:lpstr>'3_NCL_90_DIST_2'!Print_Area</vt:lpstr>
      <vt:lpstr>'34_MedLEaPR_DIST'!Print_Area</vt:lpstr>
      <vt:lpstr>'41_EOFFICE'!Print_Area</vt:lpstr>
      <vt:lpstr>'5_CCTNS_STS_YR_DIST'!Print_Area</vt:lpstr>
      <vt:lpstr>'9_CEIR_DIST'!Print_Area</vt:lpstr>
      <vt:lpstr>'1_NCL_60_DIST'!Print_Titles</vt:lpstr>
      <vt:lpstr>'1_NCL_60_DIST_2'!Print_Titles</vt:lpstr>
      <vt:lpstr>'24_SID_NC_DIST'!Print_Titles</vt:lpstr>
      <vt:lpstr>'24_SID_NC_DIST_2'!Print_Titles</vt:lpstr>
      <vt:lpstr>'25_ITSSO_DIST'!Print_Titles</vt:lpstr>
      <vt:lpstr>'25_ITSSO_DIST_2'!Print_Titles</vt:lpstr>
      <vt:lpstr>'3_NCL_90_DIST'!Print_Titles</vt:lpstr>
      <vt:lpstr>'3_NCL_90_DIST_2'!Print_Titles</vt:lpstr>
      <vt:lpstr>'34_MedLEaPR_DIST'!Print_Titles</vt:lpstr>
      <vt:lpstr>'41_EOFFICE'!Print_Titles</vt:lpstr>
      <vt:lpstr>'5_CCTNS_STS_YR_DIST'!Print_Titles</vt:lpstr>
      <vt:lpstr>'9_CEIR_DIST'!Print_Titles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2026-06-03T03:11:51Z</dcterms:created>
  <dcterms:modified xsi:type="dcterms:W3CDTF">2026-06-03T03:11:53Z</dcterms:modified>
</cp:coreProperties>
</file>